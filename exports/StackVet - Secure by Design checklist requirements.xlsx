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by family" sheetId="1" state="visible" r:id="rId3"/>
    <sheet name="Level 1" sheetId="2" state="visible" r:id="rId4"/>
    <sheet name="Level 2" sheetId="3" state="visible" r:id="rId5"/>
    <sheet name="Level 3" sheetId="4" state="visible" r:id="rId6"/>
    <sheet name="Key and coun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<sst xmlns="http://schemas.openxmlformats.org/spreadsheetml/2006/main" count="1102" uniqueCount="222">
  <si>
    <t xml:space="preserve">Framework</t>
  </si>
  <si>
    <t xml:space="preserve">Domain ID</t>
  </si>
  <si>
    <t xml:space="preserve">Domain</t>
  </si>
  <si>
    <t xml:space="preserve">Control ID</t>
  </si>
  <si>
    <t xml:space="preserve">Level (StackVet's, derived)</t>
  </si>
  <si>
    <t xml:space="preserve">How the level was set</t>
  </si>
  <si>
    <t xml:space="preserve">Control (official text)</t>
  </si>
  <si>
    <t xml:space="preserve">In plain words (StackVet's wording)</t>
  </si>
  <si>
    <t xml:space="preserve">Critical</t>
  </si>
  <si>
    <t xml:space="preserve">Severity if the answer is No</t>
  </si>
  <si>
    <t xml:space="preserve">StackVet coverage</t>
  </si>
  <si>
    <t xml:space="preserve">How StackVet handles it</t>
  </si>
  <si>
    <t xml:space="preserve">Checks that speak to it directly</t>
  </si>
  <si>
    <t xml:space="preserve">ASVS counterparts, and their StackVet coverage</t>
  </si>
  <si>
    <t xml:space="preserve">Verification class</t>
  </si>
  <si>
    <t xml:space="preserve">What a person does</t>
  </si>
  <si>
    <t xml:space="preserve">StackVet's instruction to the person</t>
  </si>
  <si>
    <t xml:space="preserve">Prompts in StackVet's prompt library</t>
  </si>
  <si>
    <t xml:space="preserve">Secure by Design checklist 0.5.0</t>
  </si>
  <si>
    <t xml:space="preserve">D</t>
  </si>
  <si>
    <t xml:space="preserve">Access Control &amp; Secure Communication</t>
  </si>
  <si>
    <t xml:space="preserve">SBD-AC-01</t>
  </si>
  <si>
    <t xml:space="preserve">level 1, from the checklist's severity; its ASVS counterpart V12.3.1 is level 2</t>
  </si>
  <si>
    <t xml:space="preserve">All communications use TLS/mTLS; service identity is verified (e.g., mesh-issued certs).</t>
  </si>
  <si>
    <t xml:space="preserve">All communications use TLS or mutual TLS (mTLS), and each service's identity is verified, for example with certificates issued by a service mesh.</t>
  </si>
  <si>
    <t xml:space="preserve">Yes</t>
  </si>
  <si>
    <t xml:space="preserve">high</t>
  </si>
  <si>
    <t xml:space="preserve">A check helps; a person decides</t>
  </si>
  <si>
    <t xml:space="preserve">A person answers it (design review); checks on its ASVS counterparts are shown beside it</t>
  </si>
  <si>
    <t xml:space="preserve">V12.3.1 (all communications encrypted with TLS on every connection): Can be checked
V12.3.3 (all communications between internal services encrypted with TLS): Can only be found failing
V12.3.4 (service identity verified with trusted certificates between internal services): Can only be found failing
V12.3.5 (service identity verified with strong authentication, such as TLS client certificates, between services): No check yet</t>
  </si>
  <si>
    <t xml:space="preserve">manual-only</t>
  </si>
  <si>
    <t xml:space="preserve">A person reviews it outside StackVet: StackVet records no answer for this control, so it stays not verified in the report</t>
  </si>
  <si>
    <t xml:space="preserve">Draw everything the app talks to (design prompt, design-what-the-app-talks-to; trial result: untested)</t>
  </si>
  <si>
    <t xml:space="preserve">SBD-AC-02</t>
  </si>
  <si>
    <t xml:space="preserve">level 1, from the checklist's severity; its ASVS counterpart V6.3.3 is level 2</t>
  </si>
  <si>
    <t xml:space="preserve">Central IdP (OIDC/OAuth2) is used; MFA enforced on privileged/admin paths; tokens are short-lived.</t>
  </si>
  <si>
    <t xml:space="preserve">A central identity provider (IdP, using OIDC or OAuth2) is used, multi-factor authentication (MFA) is enforced on privileged and admin paths, and tokens are short-lived.</t>
  </si>
  <si>
    <t xml:space="preserve">The owner answers</t>
  </si>
  <si>
    <t xml:space="preserve">A person answers it (design review); no check speaks to it</t>
  </si>
  <si>
    <t xml:space="preserve">V6.3.3 (multi-factor authentication (MFA) enforced): The owner answers</t>
  </si>
  <si>
    <t xml:space="preserve">Decide how sign-in works and how long it lasts (design prompt, design-sign-in; trial result: shown)</t>
  </si>
  <si>
    <t xml:space="preserve">SBD-AC-03</t>
  </si>
  <si>
    <t xml:space="preserve">level 1, as its ASVS counterpart V8.1.1</t>
  </si>
  <si>
    <t xml:space="preserve">RBAC/ABAC governs APIs and publish/consume on messaging; least privilege is applied.</t>
  </si>
  <si>
    <t xml:space="preserve">Role- or attribute-based access control (RBAC or ABAC) governs the APIs and who may publish or consume messages, and least privilege (only the access needed) is applied.</t>
  </si>
  <si>
    <t xml:space="preserve">No</t>
  </si>
  <si>
    <t xml:space="preserve">V8.1.1 (access rules that apply least privilege by permissions and attributes): The owner answers
V8.2.1 (access restricted to explicit permissions, least privilege): Can be checked</t>
  </si>
  <si>
    <t xml:space="preserve">Decide who may do what, before any page exists (design prompt, design-who-may-do-what; trial result: not-shown)</t>
  </si>
  <si>
    <t xml:space="preserve">SBD-AC-04</t>
  </si>
  <si>
    <t xml:space="preserve">level 1, as its ASVS counterpart V8.3.1</t>
  </si>
  <si>
    <t xml:space="preserve">Authorization is centralized at gateway/mesh via policy-as-code; shared integration services are governed.</t>
  </si>
  <si>
    <t xml:space="preserve">Authorization is centralized at the gateway or service mesh using policy-as-code (access rules written as code), and shared integration services are governed.</t>
  </si>
  <si>
    <t xml:space="preserve">medium</t>
  </si>
  <si>
    <t xml:space="preserve">V8.3.1 (authorization enforced centrally at a trusted service layer): A check helps; a person decides</t>
  </si>
  <si>
    <t xml:space="preserve">SBD-AC-05</t>
  </si>
  <si>
    <t xml:space="preserve">level 1, from the checklist's severity; its ASVS counterpart V13.3.1 is level 2</t>
  </si>
  <si>
    <t xml:space="preserve">Secrets are stored in a secret manager; keys/certs rotate automatically; no secrets in code/logs.</t>
  </si>
  <si>
    <t xml:space="preserve">Secrets are stored in a secret manager, keys and certificates rotate automatically, and no secrets appear in code or logs.</t>
  </si>
  <si>
    <t xml:space="preserve">[Reads the code] secrets.anthropic-key
[Reads the code] secrets.openai-key
[Reads the code] secrets.huggingface-token
[Reads the code] secrets.aws-access-key
[Reads the code] secrets.github-token
[Reads the code] secrets.slack-token
[Reads the code] secrets.stripe-key
[Reads the code] secrets.stripe-test-key
[Reads the code] secrets.google-api-key
[Reads the code] secrets.private-key-block
[Reads the code] secrets.jwt
[Reads the code] secrets.sendgrid-key
[Reads the code] secrets.twilio-key
[Reads the code] secrets.groq-key
[Reads the code] secrets.replicate-token
[Reads the code] secrets.resend-key
[Reads the code] secrets.supabase-token
[Reads the code] secrets.openrouter-key
[Reads the code] secrets.pinecone-key
[Reads the code] secrets.perplexity-key
[Reads the code] secrets.xai-key
[Reads the code] config.secret-under-public-name
[Reads the code] secrets.credential-assignment
[Reads the code] secrets.password-in-url
[Outside tools] brakeman</t>
  </si>
  <si>
    <t xml:space="preserve">V13.3.1 (secrets kept in a secret manager or key vault): A check helps; a person decides
V13.3.2 (least privilege access to secrets): Can only be found failing
V13.3.4 (secrets that expire and are rotated): No check yet</t>
  </si>
  <si>
    <t xml:space="preserve">SBD-AC-06</t>
  </si>
  <si>
    <t xml:space="preserve">shown at every level: nothing in ASVS asks the same thing, and the checklist has no levels</t>
  </si>
  <si>
    <t xml:space="preserve">Applicable regulatory controls (e.g., privacy/financial) are identified with evidence of design alignment.</t>
  </si>
  <si>
    <t xml:space="preserve">The regulatory controls that apply, such as privacy or financial rules, are identified, with evidence that the design aligns with them.</t>
  </si>
  <si>
    <t xml:space="preserve">Owner writes a section in design-decisions.md (heading: Rules that might apply)</t>
  </si>
  <si>
    <t xml:space="preserve">Asks: Which laws or industry rules might apply to this app, from what it keeps and who uses it, and what each would mean for the design?</t>
  </si>
  <si>
    <t xml:space="preserve">Flag the rules that might apply (design prompt, design-which-rules-apply; trial result: untested)</t>
  </si>
  <si>
    <t xml:space="preserve">SBD-AC-07</t>
  </si>
  <si>
    <t xml:space="preserve">Least privilege extends to CI/CD, VCS apps, chat-ops, and third-party tooling; periodic reviews are scheduled.</t>
  </si>
  <si>
    <t xml:space="preserve">Least privilege (only the access needed) extends to CI/CD build pipelines, version-control (VCS) apps, chat-ops, and third-party tooling, and periodic reviews are scheduled.</t>
  </si>
  <si>
    <t xml:space="preserve">low</t>
  </si>
  <si>
    <t xml:space="preserve">A</t>
  </si>
  <si>
    <t xml:space="preserve">Architecture &amp; Service Design</t>
  </si>
  <si>
    <t xml:space="preserve">SBD-AS-01</t>
  </si>
  <si>
    <t xml:space="preserve">Trust zones (logical network "Spaces") are enforced; cross-zone traffic flows only via governed integration layers (gateway/bus).</t>
  </si>
  <si>
    <t xml:space="preserve">The system is split into trust zones (separate network areas, called Spaces) that are enforced, and traffic between zones flows only through a governed integration layer, such as a gateway or message bus.</t>
  </si>
  <si>
    <t xml:space="preserve">SBD-AS-02</t>
  </si>
  <si>
    <t xml:space="preserve">Service addressing &amp; discovery are unified and consistent across environments; intra-zone shortcuts are not used externally.</t>
  </si>
  <si>
    <t xml:space="preserve">Services are addressed and discovered in one unified, consistent way across environments, and shortcuts that work only inside a zone are not used from outside it.</t>
  </si>
  <si>
    <t xml:space="preserve">SBD-AS-03</t>
  </si>
  <si>
    <t xml:space="preserve">Service boundaries are clear; no circular dependencies; services are right-sized; each service owns its data.</t>
  </si>
  <si>
    <t xml:space="preserve">Each service has clear boundaries, is right-sized for its job, and owns its own data, and no services depend on each other in a circle (circular dependencies).</t>
  </si>
  <si>
    <t xml:space="preserve">SBD-AS-04</t>
  </si>
  <si>
    <t xml:space="preserve">Architecture avoids long synchronous chains; event-driven or queued handoffs are used where appropriate.</t>
  </si>
  <si>
    <t xml:space="preserve">The architecture avoids long synchronous chains of services each waiting on the next, and uses event-driven or queued handoffs instead where appropriate.</t>
  </si>
  <si>
    <t xml:space="preserve">SBD-AS-05</t>
  </si>
  <si>
    <t xml:space="preserve">API/event contracts are defined and versioned; consumers are notified before breaking changes take effect.</t>
  </si>
  <si>
    <t xml:space="preserve">The contracts for APIs and events (the agreed formats services exchange) are defined and versioned, and consumers are notified before breaking changes take effect.</t>
  </si>
  <si>
    <t xml:space="preserve">SBD-AS-06</t>
  </si>
  <si>
    <t xml:space="preserve">Messaging has durability (persistence/replication/retention) with a defined DLQ strategy and triage.</t>
  </si>
  <si>
    <t xml:space="preserve">Messaging is durable (messages are persisted, replicated, and retained), with a defined strategy for the dead-letter queue (DLQ, where undeliverable messages go) and for triage of what lands there.</t>
  </si>
  <si>
    <t xml:space="preserve">SBD-AS-07</t>
  </si>
  <si>
    <t xml:space="preserve">level 2, as its ASVS counterpart V16.5.2</t>
  </si>
  <si>
    <t xml:space="preserve">Startup resilience: services handle missing dependencies; autoscaling defined with minimum replicas.</t>
  </si>
  <si>
    <t xml:space="preserve">Services start up safely when a dependency is missing, and autoscaling (adding or removing copies as load changes) is defined with a minimum number of replicas.</t>
  </si>
  <si>
    <t xml:space="preserve">V16.5.2 (services keep operating securely when a dependency they access fails, handled with fallback patterns): Can be checked</t>
  </si>
  <si>
    <t xml:space="preserve">Decide what happens when something the app relies on fails (design prompt, design-when-things-fail; trial result: not-shown)</t>
  </si>
  <si>
    <t xml:space="preserve">SBD-AS-08</t>
  </si>
  <si>
    <t xml:space="preserve">Legacy integrations are isolated behind an anti-corruption layer; migration path is defined.</t>
  </si>
  <si>
    <t xml:space="preserve">Legacy integrations are isolated behind an anti-corruption layer (a translator that keeps an old system's quirks out of new code), and a migration path is defined.</t>
  </si>
  <si>
    <t xml:space="preserve">B</t>
  </si>
  <si>
    <t xml:space="preserve">Data Management &amp; Protection</t>
  </si>
  <si>
    <t xml:space="preserve">SBD-DM-01</t>
  </si>
  <si>
    <t xml:space="preserve">level 2, as its ASVS counterpart V14.1.1</t>
  </si>
  <si>
    <t xml:space="preserve">Data are classified with named owners; controls are proportional to classification.</t>
  </si>
  <si>
    <t xml:space="preserve">Data are classified, each class has named owners, and the controls protecting data are proportional to its classification.</t>
  </si>
  <si>
    <t xml:space="preserve">V14.1.1 (data classified into protection levels): The owner answers
V14.1.2 (each data classification has documented protection controls): The owner answers</t>
  </si>
  <si>
    <t xml:space="preserve">List the app's data, and keep only what it needs (design prompt, design-data-list; trial result: untested)</t>
  </si>
  <si>
    <t xml:space="preserve">SBD-DM-02</t>
  </si>
  <si>
    <t xml:space="preserve">level 1, as its ASVS counterpart V12.2.1</t>
  </si>
  <si>
    <t xml:space="preserve">Encryption in transit (TLS/mTLS) and at rest with managed keys and rotation is designed in.</t>
  </si>
  <si>
    <t xml:space="preserve">Encryption is designed in, both in transit (TLS or mutual TLS) and at rest, with managed keys and key rotation.</t>
  </si>
  <si>
    <t xml:space="preserve">V12.2.1 (encryption in transit with TLS for every client connection): Can be checked
V12.3.1 (encryption in transit with TLS for every inbound and outbound connection): Can be checked</t>
  </si>
  <si>
    <t xml:space="preserve">SBD-DM-03</t>
  </si>
  <si>
    <t xml:space="preserve">Handlers and workflows are idempotent; duplicate detection/suppression is in place where needed.</t>
  </si>
  <si>
    <t xml:space="preserve">Handlers and workflows are idempotent (handling the same request twice has the same effect as once), and duplicate detection or suppression is in place where needed.</t>
  </si>
  <si>
    <t xml:space="preserve">Make the actions that must happen once happen once (design prompt, design-actions-once; trial result: not-shown)</t>
  </si>
  <si>
    <t xml:space="preserve">SBD-DM-04</t>
  </si>
  <si>
    <t xml:space="preserve">level 2, as its ASVS counterpart V2.3.3</t>
  </si>
  <si>
    <t xml:space="preserve">Cross-service transactions use Sagas/compensations; 2PC is avoided; prefer intra-service ACID first.</t>
  </si>
  <si>
    <t xml:space="preserve">Transactions across services use Sagas (steps that each have a compensating step to undo them), two-phase commit (2PC) is avoided, and ordinary ACID transactions within one service are preferred first.</t>
  </si>
  <si>
    <t xml:space="preserve">V2.3.3 (transactions that either succeed entirely or are rolled back): The owner answers</t>
  </si>
  <si>
    <t xml:space="preserve">SBD-DM-05</t>
  </si>
  <si>
    <t xml:space="preserve">level 2, as its ASVS counterpart V14.1.2</t>
  </si>
  <si>
    <t xml:space="preserve">Retention/deletion policies exist per data class; minimization is applied to collection/storage.</t>
  </si>
  <si>
    <t xml:space="preserve">Each class of data has retention and deletion policies, and minimization is applied, so only the data needed is collected and stored.</t>
  </si>
  <si>
    <t xml:space="preserve">V14.1.2 (retention requirements defined for each data class): The owner answers
V14.2.7 (retention classification that deletes outdated data): No check yet</t>
  </si>
  <si>
    <t xml:space="preserve">SBD-DM-06</t>
  </si>
  <si>
    <t xml:space="preserve">Consistency model is documented; UX handles staleness/conflicts; event-sourcing considered where appropriate.</t>
  </si>
  <si>
    <t xml:space="preserve">The consistency model (how up to date each copy of the data is) is documented, the user experience handles stale data and conflicts, and event sourcing is considered where appropriate.</t>
  </si>
  <si>
    <t xml:space="preserve">E</t>
  </si>
  <si>
    <t xml:space="preserve">Monitoring, Testing &amp; Incident Readiness</t>
  </si>
  <si>
    <t xml:space="preserve">SBD-MT-01</t>
  </si>
  <si>
    <t xml:space="preserve">level 2, as its ASVS counterpart V16.1.1</t>
  </si>
  <si>
    <t xml:space="preserve">Structured centralized logs with correlation/trace IDs; administrative access is logged.</t>
  </si>
  <si>
    <t xml:space="preserve">Logs are structured and centralized, carry correlation or trace IDs that link related entries, and administrative access is logged.</t>
  </si>
  <si>
    <t xml:space="preserve">V16.1.1 (logs with a documented structure, formats and storage): The owner answers
V16.2.1 (log entries carrying the metadata needed to trace an event): Can be checked
V16.4.3 (logs sent to a separate, centralized system): The owner answers</t>
  </si>
  <si>
    <t xml:space="preserve">Decide what the app logs, and how each line reads (design prompt, design-logging; trial result: shown)</t>
  </si>
  <si>
    <t xml:space="preserve">SBD-MT-02</t>
  </si>
  <si>
    <t xml:space="preserve">Metrics/SLOs and dashboards cover service health and event-flow anomalies; alerts are actionable.</t>
  </si>
  <si>
    <t xml:space="preserve">Metrics, service level objectives (SLOs), and dashboards cover service health and anomalies in event flow, and alerts are actionable.</t>
  </si>
  <si>
    <t xml:space="preserve">SBD-MT-03</t>
  </si>
  <si>
    <t xml:space="preserve">ASVS-aligned security tests and negative tests from threat-modeling are planned in the test strategy.</t>
  </si>
  <si>
    <t xml:space="preserve">The test strategy plans security tests aligned with ASVS, and negative tests (checking that what should fail does fail) drawn from threat modeling.</t>
  </si>
  <si>
    <t xml:space="preserve">Write the design brief before any code (design prompt, design-brief; trial result: untested)</t>
  </si>
  <si>
    <t xml:space="preserve">SBD-MT-04</t>
  </si>
  <si>
    <t xml:space="preserve">SbD controls are verifiable in test (isolation, mTLS, authZ denials, rate-limit behavior).</t>
  </si>
  <si>
    <t xml:space="preserve">Secure by Design (SbD) controls are verifiable in tests, including isolation, mTLS, authorization denials, and rate-limit behavior.</t>
  </si>
  <si>
    <t xml:space="preserve">SBD-MT-05</t>
  </si>
  <si>
    <t xml:space="preserve">OpenAPI/AsyncAPI and event catalogs are published; ADRs/runbooks are current.</t>
  </si>
  <si>
    <t xml:space="preserve">API descriptions (OpenAPI and AsyncAPI) and event catalogs are published, and decision records (ADRs) and runbooks are kept current.</t>
  </si>
  <si>
    <t xml:space="preserve">Before changing the design, re-read what was decided (design prompt, design-before-changing; trial result: untested)</t>
  </si>
  <si>
    <t xml:space="preserve">SBD-MT-06</t>
  </si>
  <si>
    <t xml:space="preserve">A documented Incident Response plan (roles, comms, evidence handling) exists and is rehearsed.</t>
  </si>
  <si>
    <t xml:space="preserve">A documented Incident Response plan, covering roles, communications, and evidence handling, exists and is rehearsed.</t>
  </si>
  <si>
    <t xml:space="preserve">Owner writes a section in design-decisions.md (heading: What we do if something goes wrong)</t>
  </si>
  <si>
    <t xml:space="preserve">Asks: What is the plan when something goes wrong: how to take the app offline, what to do if a key leaks, what to do if someone else's data may have been seen, and who to ask for help?</t>
  </si>
  <si>
    <t xml:space="preserve">Write "what we do if..." on one page (design prompt, design-what-we-do-if; trial result: untested)</t>
  </si>
  <si>
    <t xml:space="preserve">SBD-MT-07</t>
  </si>
  <si>
    <t xml:space="preserve">level 1, from the checklist's severity; its ASVS counterpart V16.4.2 is level 2</t>
  </si>
  <si>
    <t xml:space="preserve">Audit log retention ≥12 months with tamper-evidence and a searchable hot window is defined.</t>
  </si>
  <si>
    <t xml:space="preserve">Audit log retention of at least 12 months is defined, with tamper-evidence (changes can be detected) and a searchable hot window of recent logs.</t>
  </si>
  <si>
    <t xml:space="preserve">V16.4.2 (audit logs protected so they cannot be modified, tamper-evident): Can only be found failing</t>
  </si>
  <si>
    <t xml:space="preserve">C</t>
  </si>
  <si>
    <t xml:space="preserve">Reliability &amp; Resilience</t>
  </si>
  <si>
    <t xml:space="preserve">SBD-RR-01</t>
  </si>
  <si>
    <t xml:space="preserve">level 2, as its ASVS counterpart V16.5.1</t>
  </si>
  <si>
    <t xml:space="preserve">Retries use exponential backoff + jitter; default exception handling and safe error models exist.</t>
  </si>
  <si>
    <t xml:space="preserve">Retries wait longer after each failure (exponential backoff) plus a small random delay (jitter), and default exception handling and safe error models exist.</t>
  </si>
  <si>
    <t xml:space="preserve">V16.5.1 (safe error handling that exposes nothing when an exception occurs): Can be checked
V16.5.3 (safe error handling that fails securely when an exception occurs): Can only be found failing</t>
  </si>
  <si>
    <t xml:space="preserve">SBD-RR-02</t>
  </si>
  <si>
    <t xml:space="preserve">Circuit breakers/bulkheads protect dependencies; non-critical features have fallback/degraded modes.</t>
  </si>
  <si>
    <t xml:space="preserve">Circuit breakers and bulkheads (which stop calls to a failing dependency and keep failures contained) protect dependencies, and non-critical features have fallback or degraded modes.</t>
  </si>
  <si>
    <t xml:space="preserve">V16.5.2 (circuit breakers and graceful degradation when a dependency fails): Can be checked</t>
  </si>
  <si>
    <t xml:space="preserve">SBD-RR-03</t>
  </si>
  <si>
    <t xml:space="preserve">Asynchronous semantics are defined: ordering, delivery guarantees, ack/visibility timeouts; DLQs are monitored.</t>
  </si>
  <si>
    <t xml:space="preserve">Asynchronous messaging semantics are defined, including ordering, delivery guarantees, and acknowledgment and visibility timeouts, and dead-letter queues (DLQs) are monitored.</t>
  </si>
  <si>
    <t xml:space="preserve">SBD-RR-04</t>
  </si>
  <si>
    <t xml:space="preserve">Shared integration layers (gateway/bus) are high-availability and contain errors to prevent cross-zone failure propagation.</t>
  </si>
  <si>
    <t xml:space="preserve">Shared integration layers, such as a gateway or message bus, are highly available and contain errors, so a failure does not spread from one zone to another.</t>
  </si>
  <si>
    <t xml:space="preserve">SBD-RR-05</t>
  </si>
  <si>
    <t xml:space="preserve">level 2, as its ASVS counterpart V2.3.4</t>
  </si>
  <si>
    <t xml:space="preserve">All mutating endpoints enforce an Idempotency-Key; concurrency controls (locks/optimistic concurrency) are in place.</t>
  </si>
  <si>
    <t xml:space="preserve">Every endpoint that changes data enforces an Idempotency-Key (so a repeated request is not applied twice), and concurrency controls, such as locks or optimistic concurrency, are in place.</t>
  </si>
  <si>
    <t xml:space="preserve">V2.3.4 (locking and concurrency controls against double-booking): A check helps; a person decides</t>
  </si>
  <si>
    <t xml:space="preserve">SBD-RR-06</t>
  </si>
  <si>
    <t xml:space="preserve">level 1, from the checklist's severity; its ASVS counterpart V13.1.3 is level 3</t>
  </si>
  <si>
    <t xml:space="preserve">Timeouts on all calls; health probes; explicit failover/multi-AZ strategies for critical paths.</t>
  </si>
  <si>
    <t xml:space="preserve">All calls have timeouts, services have health probes, and critical paths have explicit failover strategies, such as running across multiple availability zones (multi-AZ).</t>
  </si>
  <si>
    <t xml:space="preserve">V13.2.6 (timeouts and retry strategies on every connection to other services): No check yet
V13.1.3 (timeouts and failure handling defined for every external service): No check yet</t>
  </si>
  <si>
    <t xml:space="preserve">SBD-RR-07</t>
  </si>
  <si>
    <t xml:space="preserve">level 2, as its ASVS counterpart V2.4.1</t>
  </si>
  <si>
    <t xml:space="preserve">Quotas and autoscaling are defined; rate-limits enforced at edges; minimum capacity documented.</t>
  </si>
  <si>
    <t xml:space="preserve">Quotas and autoscaling are defined, rate limits are enforced at the edges where traffic comes in, and the minimum capacity is documented.</t>
  </si>
  <si>
    <t xml:space="preserve">V2.4.1 (rate limits and quotas against excessive calls): Can be checked</t>
  </si>
  <si>
    <t xml:space="preserve">Decide the limits on abuse, write them down, and enforce them (design prompt, design-limits; trial result: shown)</t>
  </si>
  <si>
    <t xml:space="preserve">SBD-RR-08</t>
  </si>
  <si>
    <t xml:space="preserve">Caching/CDN/back-pressure patterns are applied where appropriate; performance guardrails are defined.</t>
  </si>
  <si>
    <t xml:space="preserve">Caching, a CDN (content delivery network), and back-pressure (slowing senders when the system is overloaded) are applied where appropriate, and performance guardrails are defined.</t>
  </si>
  <si>
    <t xml:space="preserve">No requirement is at level 3.</t>
  </si>
  <si>
    <t xml:space="preserve">OWASP Secure by Design checklist 0.5.0: every control, and what StackVet does about it</t>
  </si>
  <si>
    <t xml:space="preserve">Source: OWASP Secure by Design Framework 0.5.0 (draft, August 2025; CC BY-SA 4.0), https://github.com/OWASP/www-project-secure-by-design-framework</t>
  </si>
  <si>
    <t xml:space="preserve">The checklist has no levels of its own. The level sheets use the level StackVet derives (sv-frameworks, load.rs):</t>
  </si>
  <si>
    <t xml:space="preserve">  a critical control, or one whose absence is high severity, is level 1; medium is level 2; low is level 3.</t>
  </si>
  <si>
    <t xml:space="preserve">  An ASVS requirement that asks the same thing (data/sbd-asvs-crosswalk.json) can only lower it, to its own level.</t>
  </si>
  <si>
    <t xml:space="preserve">  A control nothing in ASVS matches is level 1, so it is shown at every level.</t>
  </si>
  <si>
    <t xml:space="preserve">  This mapping is StackVet's, not OWASP's; 'How the level was set' says which rule set each control's level.</t>
  </si>
  <si>
    <t xml:space="preserve">Every control is a design-review question answered by a person, so StackVet never marks one checked.</t>
  </si>
  <si>
    <t xml:space="preserve">Where a control has ASVS counterparts, their checks are shown beside it as supporting evidence.</t>
  </si>
  <si>
    <t xml:space="preserve">Built on 20 October 2026 from StackVet's main branch at d6a23f2d, by reading its data/ folder and tools/coverage.py.</t>
  </si>
  <si>
    <t xml:space="preserve">Level 1</t>
  </si>
  <si>
    <t xml:space="preserve">Level 2</t>
  </si>
  <si>
    <t xml:space="preserve">Level 3</t>
  </si>
  <si>
    <t xml:space="preserve">All levels</t>
  </si>
  <si>
    <t xml:space="preserve">Total</t>
  </si>
  <si>
    <t xml:space="preserve">Rows on the first sheet (should equal the total)</t>
  </si>
  <si>
    <t xml:space="preserve">By family</t>
  </si>
  <si>
    <t xml:space="preserve">D Access Control &amp; Secure Communication</t>
  </si>
  <si>
    <t xml:space="preserve">A Architecture &amp; Service Design</t>
  </si>
  <si>
    <t xml:space="preserve">B Data Management &amp; Protection</t>
  </si>
  <si>
    <t xml:space="preserve">E Monitoring, Testing &amp; Incident Readiness</t>
  </si>
  <si>
    <t xml:space="preserve">C Reliability &amp; Resilience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</si>
</sst>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8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0000"/>
      </font>
      <border diagonalUp="false" diagonalDown="false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/>
      </border>
    </dxf>
    <dxf>
      <border diagonalUp="false" diagonalDown="false">
        <left style="thin">
          <color theme="4"/>
        </left>
        <right/>
        <top/>
        <bottom/>
        <diagonal/>
      </border>
    </dxf>
    <dxf>
      <border diagonalUp="false" diagonalDown="false">
        <left style="thin">
          <color theme="4"/>
        </left>
        <right/>
        <top/>
        <bottom/>
        <diagonal/>
      </border>
    </dxf>
    <dxf>
      <border diagonalUp="false" diagonalDown="false">
        <left/>
        <right/>
        <top style="thin">
          <color theme="4"/>
        </top>
        <bottom/>
        <diagonal/>
      </border>
    </dxf>
    <dxf>
      <border diagonalUp="false" diagonalDown="false">
        <left/>
        <right/>
        <top style="thin">
          <color theme="4"/>
        </top>
        <bottom/>
        <diagonal/>
      </border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9" name="TableStyleLight9">
      <tableStyleElement dxfId="3" type="wholeTable"/>
      <tableStyleElement dxfId="4" type="firstColumnStripe"/>
      <tableStyleElement dxfId="5" type="secondColumnStripe"/>
      <tableStyleElement dxfId="6" type="firstRowStripe"/>
      <tableStyleElement dxfId="7" type="secondRowStripe"/>
      <tableStyleElement dxfId="8" type="lastColumn"/>
      <tableStyleElement dxfId="9" type="firstColumn"/>
      <tableStyleElement dxfId="10" type="headerRow"/>
      <tableStyleElement dxfId="11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BDAll" displayName="SBDAll" ref="A1:R37" headerRowCount="1" totalsRowCount="0" totalsRowShown="0">
  <autoFilter ref="A1:R37"/>
  <tableColumns count="18">
    <tableColumn id="1" name="Framework"/>
    <tableColumn id="2" name="Domain ID"/>
    <tableColumn id="3" name="Domain"/>
    <tableColumn id="4" name="Control ID"/>
    <tableColumn id="5" name="Level (StackVet's, derived)"/>
    <tableColumn id="6" name="How the level was set"/>
    <tableColumn id="7" name="Control (official text)"/>
    <tableColumn id="8" name="In plain words (StackVet's wording)"/>
    <tableColumn id="9" name="Critical"/>
    <tableColumn id="10" name="Severity if the answer is No"/>
    <tableColumn id="11" name="StackVet coverage"/>
    <tableColumn id="12" name="How StackVet handles it"/>
    <tableColumn id="13" name="Checks that speak to it directly"/>
    <tableColumn id="14" name="ASVS counterparts, and their StackVet coverage"/>
    <tableColumn id="15" name="Verification class"/>
    <tableColumn id="16" name="What a person does"/>
    <tableColumn id="17" name="StackVet's instruction to the person"/>
    <tableColumn id="18" name="Prompts in StackVet's prompt librar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SBDL1" displayName="SBDL1" ref="A1:R28" headerRowCount="1" totalsRowCount="0" totalsRowShown="0">
  <autoFilter ref="A1:R28"/>
  <tableColumns count="18">
    <tableColumn id="1" name="Framework"/>
    <tableColumn id="2" name="Domain ID"/>
    <tableColumn id="3" name="Domain"/>
    <tableColumn id="4" name="Control ID"/>
    <tableColumn id="5" name="Level (StackVet's, derived)"/>
    <tableColumn id="6" name="How the level was set"/>
    <tableColumn id="7" name="Control (official text)"/>
    <tableColumn id="8" name="In plain words (StackVet's wording)"/>
    <tableColumn id="9" name="Critical"/>
    <tableColumn id="10" name="Severity if the answer is No"/>
    <tableColumn id="11" name="StackVet coverage"/>
    <tableColumn id="12" name="How StackVet handles it"/>
    <tableColumn id="13" name="Checks that speak to it directly"/>
    <tableColumn id="14" name="ASVS counterparts, and their StackVet coverage"/>
    <tableColumn id="15" name="Verification class"/>
    <tableColumn id="16" name="What a person does"/>
    <tableColumn id="17" name="StackVet's instruction to the person"/>
    <tableColumn id="18" name="Prompts in StackVet's prompt librar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SBDL2" displayName="SBDL2" ref="A1:R10" headerRowCount="1" totalsRowCount="0" totalsRowShown="0">
  <autoFilter ref="A1:R10"/>
  <tableColumns count="18">
    <tableColumn id="1" name="Framework"/>
    <tableColumn id="2" name="Domain ID"/>
    <tableColumn id="3" name="Domain"/>
    <tableColumn id="4" name="Control ID"/>
    <tableColumn id="5" name="Level (StackVet's, derived)"/>
    <tableColumn id="6" name="How the level was set"/>
    <tableColumn id="7" name="Control (official text)"/>
    <tableColumn id="8" name="In plain words (StackVet's wording)"/>
    <tableColumn id="9" name="Critical"/>
    <tableColumn id="10" name="Severity if the answer is No"/>
    <tableColumn id="11" name="StackVet coverage"/>
    <tableColumn id="12" name="How StackVet handles it"/>
    <tableColumn id="13" name="Checks that speak to it directly"/>
    <tableColumn id="14" name="ASVS counterparts, and their StackVet coverage"/>
    <tableColumn id="15" name="Verification class"/>
    <tableColumn id="16" name="What a person does"/>
    <tableColumn id="17" name="StackVet's instruction to the person"/>
    <tableColumn id="18" name="Prompts in StackVet's prompt librar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8"/>
    <col collapsed="false" customWidth="true" hidden="false" outlineLevel="0" max="5" min="4" style="0" width="16"/>
    <col collapsed="false" customWidth="true" hidden="false" outlineLevel="0" max="6" min="6" style="0" width="40"/>
    <col collapsed="false" customWidth="true" hidden="false" outlineLevel="0" max="7" min="7" style="0" width="60"/>
    <col collapsed="false" customWidth="true" hidden="false" outlineLevel="0" max="8" min="8" style="0" width="50"/>
    <col collapsed="false" customWidth="true" hidden="false" outlineLevel="0" max="10" min="9" style="0" width="16"/>
    <col collapsed="false" customWidth="true" hidden="false" outlineLevel="0" max="11" min="11" style="0" width="26"/>
    <col collapsed="false" customWidth="true" hidden="false" outlineLevel="0" max="12" min="12" style="0" width="40"/>
    <col collapsed="false" customWidth="true" hidden="false" outlineLevel="0" max="13" min="13" style="0" width="45"/>
    <col collapsed="false" customWidth="true" hidden="false" outlineLevel="0" max="14" min="14" style="0" width="55"/>
    <col collapsed="false" customWidth="true" hidden="false" outlineLevel="0" max="15" min="15" style="0" width="16"/>
    <col collapsed="false" customWidth="true" hidden="false" outlineLevel="0" max="16" min="16" style="0" width="40"/>
    <col collapsed="false" customWidth="true" hidden="false" outlineLevel="0" max="17" min="17" style="0" width="70"/>
    <col collapsed="false" customWidth="true" hidden="false" outlineLevel="0" max="18" min="18" style="0" width="45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91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n">
        <v>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/>
      <c r="N2" s="2" t="s">
        <v>29</v>
      </c>
      <c r="O2" s="2" t="s">
        <v>30</v>
      </c>
      <c r="P2" s="2" t="s">
        <v>31</v>
      </c>
      <c r="Q2" s="2"/>
      <c r="R2" s="2" t="s">
        <v>32</v>
      </c>
    </row>
    <row r="3" customFormat="false" ht="35.05" hidden="false" customHeight="false" outlineLevel="0" collapsed="false">
      <c r="A3" s="2" t="s">
        <v>18</v>
      </c>
      <c r="B3" s="2" t="s">
        <v>19</v>
      </c>
      <c r="C3" s="2" t="s">
        <v>20</v>
      </c>
      <c r="D3" s="2" t="s">
        <v>33</v>
      </c>
      <c r="E3" s="2" t="n">
        <v>1</v>
      </c>
      <c r="F3" s="2" t="s">
        <v>34</v>
      </c>
      <c r="G3" s="2" t="s">
        <v>35</v>
      </c>
      <c r="H3" s="2" t="s">
        <v>36</v>
      </c>
      <c r="I3" s="2" t="s">
        <v>25</v>
      </c>
      <c r="J3" s="2" t="s">
        <v>26</v>
      </c>
      <c r="K3" s="2" t="s">
        <v>37</v>
      </c>
      <c r="L3" s="2" t="s">
        <v>38</v>
      </c>
      <c r="M3" s="2"/>
      <c r="N3" s="2" t="s">
        <v>39</v>
      </c>
      <c r="O3" s="2" t="s">
        <v>30</v>
      </c>
      <c r="P3" s="2" t="s">
        <v>31</v>
      </c>
      <c r="Q3" s="2"/>
      <c r="R3" s="2" t="s">
        <v>40</v>
      </c>
    </row>
    <row r="4" customFormat="false" ht="46.25" hidden="false" customHeight="false" outlineLevel="0" collapsed="false">
      <c r="A4" s="2" t="s">
        <v>18</v>
      </c>
      <c r="B4" s="2" t="s">
        <v>19</v>
      </c>
      <c r="C4" s="2" t="s">
        <v>20</v>
      </c>
      <c r="D4" s="2" t="s">
        <v>41</v>
      </c>
      <c r="E4" s="2" t="n">
        <v>1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26</v>
      </c>
      <c r="K4" s="2" t="s">
        <v>27</v>
      </c>
      <c r="L4" s="2" t="s">
        <v>28</v>
      </c>
      <c r="M4" s="2"/>
      <c r="N4" s="2" t="s">
        <v>46</v>
      </c>
      <c r="O4" s="2" t="s">
        <v>30</v>
      </c>
      <c r="P4" s="2" t="s">
        <v>31</v>
      </c>
      <c r="Q4" s="2"/>
      <c r="R4" s="2" t="s">
        <v>47</v>
      </c>
    </row>
    <row r="5" customFormat="false" ht="35.05" hidden="false" customHeight="false" outlineLevel="0" collapsed="false">
      <c r="A5" s="2" t="s">
        <v>18</v>
      </c>
      <c r="B5" s="2" t="s">
        <v>19</v>
      </c>
      <c r="C5" s="2" t="s">
        <v>20</v>
      </c>
      <c r="D5" s="2" t="s">
        <v>48</v>
      </c>
      <c r="E5" s="2" t="n">
        <v>1</v>
      </c>
      <c r="F5" s="2" t="s">
        <v>49</v>
      </c>
      <c r="G5" s="2" t="s">
        <v>50</v>
      </c>
      <c r="H5" s="2" t="s">
        <v>51</v>
      </c>
      <c r="I5" s="2" t="s">
        <v>45</v>
      </c>
      <c r="J5" s="2" t="s">
        <v>52</v>
      </c>
      <c r="K5" s="2" t="s">
        <v>27</v>
      </c>
      <c r="L5" s="2" t="s">
        <v>28</v>
      </c>
      <c r="M5" s="2"/>
      <c r="N5" s="2" t="s">
        <v>53</v>
      </c>
      <c r="O5" s="2" t="s">
        <v>30</v>
      </c>
      <c r="P5" s="2" t="s">
        <v>31</v>
      </c>
      <c r="Q5" s="2"/>
      <c r="R5" s="2"/>
    </row>
    <row r="6" customFormat="false" ht="281.3" hidden="false" customHeight="false" outlineLevel="0" collapsed="false">
      <c r="A6" s="2" t="s">
        <v>18</v>
      </c>
      <c r="B6" s="2" t="s">
        <v>19</v>
      </c>
      <c r="C6" s="2" t="s">
        <v>20</v>
      </c>
      <c r="D6" s="2" t="s">
        <v>54</v>
      </c>
      <c r="E6" s="2" t="n">
        <v>1</v>
      </c>
      <c r="F6" s="2" t="s">
        <v>55</v>
      </c>
      <c r="G6" s="2" t="s">
        <v>56</v>
      </c>
      <c r="H6" s="2" t="s">
        <v>57</v>
      </c>
      <c r="I6" s="2" t="s">
        <v>45</v>
      </c>
      <c r="J6" s="2" t="s">
        <v>26</v>
      </c>
      <c r="K6" s="2" t="s">
        <v>27</v>
      </c>
      <c r="L6" s="2" t="s">
        <v>28</v>
      </c>
      <c r="M6" s="2" t="s">
        <v>58</v>
      </c>
      <c r="N6" s="2" t="s">
        <v>59</v>
      </c>
      <c r="O6" s="2" t="s">
        <v>30</v>
      </c>
      <c r="P6" s="2" t="s">
        <v>31</v>
      </c>
      <c r="Q6" s="2"/>
      <c r="R6" s="2"/>
    </row>
    <row r="7" customFormat="false" ht="35.05" hidden="false" customHeight="false" outlineLevel="0" collapsed="false">
      <c r="A7" s="2" t="s">
        <v>18</v>
      </c>
      <c r="B7" s="2" t="s">
        <v>19</v>
      </c>
      <c r="C7" s="2" t="s">
        <v>20</v>
      </c>
      <c r="D7" s="2" t="s">
        <v>60</v>
      </c>
      <c r="E7" s="2" t="n">
        <v>1</v>
      </c>
      <c r="F7" s="2" t="s">
        <v>61</v>
      </c>
      <c r="G7" s="2" t="s">
        <v>62</v>
      </c>
      <c r="H7" s="2" t="s">
        <v>63</v>
      </c>
      <c r="I7" s="2" t="s">
        <v>45</v>
      </c>
      <c r="J7" s="2" t="s">
        <v>52</v>
      </c>
      <c r="K7" s="2" t="s">
        <v>37</v>
      </c>
      <c r="L7" s="2" t="s">
        <v>38</v>
      </c>
      <c r="M7" s="2"/>
      <c r="N7" s="2"/>
      <c r="O7" s="2" t="s">
        <v>30</v>
      </c>
      <c r="P7" s="2" t="s">
        <v>64</v>
      </c>
      <c r="Q7" s="2" t="s">
        <v>65</v>
      </c>
      <c r="R7" s="2" t="s">
        <v>66</v>
      </c>
    </row>
    <row r="8" customFormat="false" ht="35.05" hidden="false" customHeight="false" outlineLevel="0" collapsed="false">
      <c r="A8" s="2" t="s">
        <v>18</v>
      </c>
      <c r="B8" s="2" t="s">
        <v>19</v>
      </c>
      <c r="C8" s="2" t="s">
        <v>20</v>
      </c>
      <c r="D8" s="2" t="s">
        <v>67</v>
      </c>
      <c r="E8" s="2" t="n">
        <v>1</v>
      </c>
      <c r="F8" s="2" t="s">
        <v>61</v>
      </c>
      <c r="G8" s="2" t="s">
        <v>68</v>
      </c>
      <c r="H8" s="2" t="s">
        <v>69</v>
      </c>
      <c r="I8" s="2" t="s">
        <v>45</v>
      </c>
      <c r="J8" s="2" t="s">
        <v>70</v>
      </c>
      <c r="K8" s="2" t="s">
        <v>37</v>
      </c>
      <c r="L8" s="2" t="s">
        <v>38</v>
      </c>
      <c r="M8" s="2"/>
      <c r="N8" s="2"/>
      <c r="O8" s="2" t="s">
        <v>30</v>
      </c>
      <c r="P8" s="2" t="s">
        <v>31</v>
      </c>
      <c r="Q8" s="2"/>
      <c r="R8" s="2"/>
    </row>
    <row r="9" customFormat="false" ht="46.25" hidden="false" customHeight="false" outlineLevel="0" collapsed="false">
      <c r="A9" s="2" t="s">
        <v>18</v>
      </c>
      <c r="B9" s="2" t="s">
        <v>71</v>
      </c>
      <c r="C9" s="2" t="s">
        <v>72</v>
      </c>
      <c r="D9" s="2" t="s">
        <v>73</v>
      </c>
      <c r="E9" s="2" t="n">
        <v>1</v>
      </c>
      <c r="F9" s="2" t="s">
        <v>61</v>
      </c>
      <c r="G9" s="2" t="s">
        <v>74</v>
      </c>
      <c r="H9" s="2" t="s">
        <v>75</v>
      </c>
      <c r="I9" s="2" t="s">
        <v>25</v>
      </c>
      <c r="J9" s="2" t="s">
        <v>26</v>
      </c>
      <c r="K9" s="2" t="s">
        <v>37</v>
      </c>
      <c r="L9" s="2" t="s">
        <v>38</v>
      </c>
      <c r="M9" s="2"/>
      <c r="N9" s="2"/>
      <c r="O9" s="2" t="s">
        <v>30</v>
      </c>
      <c r="P9" s="2" t="s">
        <v>31</v>
      </c>
      <c r="Q9" s="2"/>
      <c r="R9" s="2" t="s">
        <v>32</v>
      </c>
    </row>
    <row r="10" customFormat="false" ht="35.05" hidden="false" customHeight="false" outlineLevel="0" collapsed="false">
      <c r="A10" s="2" t="s">
        <v>18</v>
      </c>
      <c r="B10" s="2" t="s">
        <v>71</v>
      </c>
      <c r="C10" s="2" t="s">
        <v>72</v>
      </c>
      <c r="D10" s="2" t="s">
        <v>76</v>
      </c>
      <c r="E10" s="2" t="n">
        <v>1</v>
      </c>
      <c r="F10" s="2" t="s">
        <v>61</v>
      </c>
      <c r="G10" s="2" t="s">
        <v>77</v>
      </c>
      <c r="H10" s="2" t="s">
        <v>78</v>
      </c>
      <c r="I10" s="2" t="s">
        <v>45</v>
      </c>
      <c r="J10" s="2" t="s">
        <v>70</v>
      </c>
      <c r="K10" s="2" t="s">
        <v>37</v>
      </c>
      <c r="L10" s="2" t="s">
        <v>38</v>
      </c>
      <c r="M10" s="2"/>
      <c r="N10" s="2"/>
      <c r="O10" s="2" t="s">
        <v>30</v>
      </c>
      <c r="P10" s="2" t="s">
        <v>31</v>
      </c>
      <c r="Q10" s="2"/>
      <c r="R10" s="2"/>
    </row>
    <row r="11" customFormat="false" ht="35.05" hidden="false" customHeight="false" outlineLevel="0" collapsed="false">
      <c r="A11" s="2" t="s">
        <v>18</v>
      </c>
      <c r="B11" s="2" t="s">
        <v>71</v>
      </c>
      <c r="C11" s="2" t="s">
        <v>72</v>
      </c>
      <c r="D11" s="2" t="s">
        <v>79</v>
      </c>
      <c r="E11" s="2" t="n">
        <v>1</v>
      </c>
      <c r="F11" s="2" t="s">
        <v>61</v>
      </c>
      <c r="G11" s="2" t="s">
        <v>80</v>
      </c>
      <c r="H11" s="2" t="s">
        <v>81</v>
      </c>
      <c r="I11" s="2" t="s">
        <v>45</v>
      </c>
      <c r="J11" s="2" t="s">
        <v>52</v>
      </c>
      <c r="K11" s="2" t="s">
        <v>37</v>
      </c>
      <c r="L11" s="2" t="s">
        <v>38</v>
      </c>
      <c r="M11" s="2"/>
      <c r="N11" s="2"/>
      <c r="O11" s="2" t="s">
        <v>30</v>
      </c>
      <c r="P11" s="2" t="s">
        <v>31</v>
      </c>
      <c r="Q11" s="2"/>
      <c r="R11" s="2"/>
    </row>
    <row r="12" customFormat="false" ht="35.05" hidden="false" customHeight="false" outlineLevel="0" collapsed="false">
      <c r="A12" s="2" t="s">
        <v>18</v>
      </c>
      <c r="B12" s="2" t="s">
        <v>71</v>
      </c>
      <c r="C12" s="2" t="s">
        <v>72</v>
      </c>
      <c r="D12" s="2" t="s">
        <v>82</v>
      </c>
      <c r="E12" s="2" t="n">
        <v>1</v>
      </c>
      <c r="F12" s="2" t="s">
        <v>61</v>
      </c>
      <c r="G12" s="2" t="s">
        <v>83</v>
      </c>
      <c r="H12" s="2" t="s">
        <v>84</v>
      </c>
      <c r="I12" s="2" t="s">
        <v>45</v>
      </c>
      <c r="J12" s="2" t="s">
        <v>70</v>
      </c>
      <c r="K12" s="2" t="s">
        <v>37</v>
      </c>
      <c r="L12" s="2" t="s">
        <v>38</v>
      </c>
      <c r="M12" s="2"/>
      <c r="N12" s="2"/>
      <c r="O12" s="2" t="s">
        <v>30</v>
      </c>
      <c r="P12" s="2" t="s">
        <v>31</v>
      </c>
      <c r="Q12" s="2"/>
      <c r="R12" s="2"/>
    </row>
    <row r="13" customFormat="false" ht="35.05" hidden="false" customHeight="false" outlineLevel="0" collapsed="false">
      <c r="A13" s="2" t="s">
        <v>18</v>
      </c>
      <c r="B13" s="2" t="s">
        <v>71</v>
      </c>
      <c r="C13" s="2" t="s">
        <v>72</v>
      </c>
      <c r="D13" s="2" t="s">
        <v>85</v>
      </c>
      <c r="E13" s="2" t="n">
        <v>1</v>
      </c>
      <c r="F13" s="2" t="s">
        <v>61</v>
      </c>
      <c r="G13" s="2" t="s">
        <v>86</v>
      </c>
      <c r="H13" s="2" t="s">
        <v>87</v>
      </c>
      <c r="I13" s="2" t="s">
        <v>45</v>
      </c>
      <c r="J13" s="2" t="s">
        <v>52</v>
      </c>
      <c r="K13" s="2" t="s">
        <v>37</v>
      </c>
      <c r="L13" s="2" t="s">
        <v>38</v>
      </c>
      <c r="M13" s="2"/>
      <c r="N13" s="2"/>
      <c r="O13" s="2" t="s">
        <v>30</v>
      </c>
      <c r="P13" s="2" t="s">
        <v>31</v>
      </c>
      <c r="Q13" s="2"/>
      <c r="R13" s="2"/>
    </row>
    <row r="14" customFormat="false" ht="46.25" hidden="false" customHeight="false" outlineLevel="0" collapsed="false">
      <c r="A14" s="2" t="s">
        <v>18</v>
      </c>
      <c r="B14" s="2" t="s">
        <v>71</v>
      </c>
      <c r="C14" s="2" t="s">
        <v>72</v>
      </c>
      <c r="D14" s="2" t="s">
        <v>88</v>
      </c>
      <c r="E14" s="2" t="n">
        <v>1</v>
      </c>
      <c r="F14" s="2" t="s">
        <v>61</v>
      </c>
      <c r="G14" s="2" t="s">
        <v>89</v>
      </c>
      <c r="H14" s="2" t="s">
        <v>90</v>
      </c>
      <c r="I14" s="2" t="s">
        <v>45</v>
      </c>
      <c r="J14" s="2" t="s">
        <v>70</v>
      </c>
      <c r="K14" s="2" t="s">
        <v>37</v>
      </c>
      <c r="L14" s="2" t="s">
        <v>38</v>
      </c>
      <c r="M14" s="2"/>
      <c r="N14" s="2"/>
      <c r="O14" s="2" t="s">
        <v>30</v>
      </c>
      <c r="P14" s="2" t="s">
        <v>31</v>
      </c>
      <c r="Q14" s="2"/>
      <c r="R14" s="2"/>
    </row>
    <row r="15" customFormat="false" ht="35.05" hidden="false" customHeight="false" outlineLevel="0" collapsed="false">
      <c r="A15" s="2" t="s">
        <v>18</v>
      </c>
      <c r="B15" s="2" t="s">
        <v>71</v>
      </c>
      <c r="C15" s="2" t="s">
        <v>72</v>
      </c>
      <c r="D15" s="2" t="s">
        <v>91</v>
      </c>
      <c r="E15" s="2" t="n">
        <v>2</v>
      </c>
      <c r="F15" s="2" t="s">
        <v>92</v>
      </c>
      <c r="G15" s="2" t="s">
        <v>93</v>
      </c>
      <c r="H15" s="2" t="s">
        <v>94</v>
      </c>
      <c r="I15" s="2" t="s">
        <v>45</v>
      </c>
      <c r="J15" s="2" t="s">
        <v>70</v>
      </c>
      <c r="K15" s="2" t="s">
        <v>27</v>
      </c>
      <c r="L15" s="2" t="s">
        <v>28</v>
      </c>
      <c r="M15" s="2"/>
      <c r="N15" s="2" t="s">
        <v>95</v>
      </c>
      <c r="O15" s="2" t="s">
        <v>30</v>
      </c>
      <c r="P15" s="2" t="s">
        <v>31</v>
      </c>
      <c r="Q15" s="2"/>
      <c r="R15" s="2" t="s">
        <v>96</v>
      </c>
    </row>
    <row r="16" customFormat="false" ht="35.05" hidden="false" customHeight="false" outlineLevel="0" collapsed="false">
      <c r="A16" s="2" t="s">
        <v>18</v>
      </c>
      <c r="B16" s="2" t="s">
        <v>71</v>
      </c>
      <c r="C16" s="2" t="s">
        <v>72</v>
      </c>
      <c r="D16" s="2" t="s">
        <v>97</v>
      </c>
      <c r="E16" s="2" t="n">
        <v>1</v>
      </c>
      <c r="F16" s="2" t="s">
        <v>61</v>
      </c>
      <c r="G16" s="2" t="s">
        <v>98</v>
      </c>
      <c r="H16" s="2" t="s">
        <v>99</v>
      </c>
      <c r="I16" s="2" t="s">
        <v>45</v>
      </c>
      <c r="J16" s="2" t="s">
        <v>70</v>
      </c>
      <c r="K16" s="2" t="s">
        <v>37</v>
      </c>
      <c r="L16" s="2" t="s">
        <v>38</v>
      </c>
      <c r="M16" s="2"/>
      <c r="N16" s="2"/>
      <c r="O16" s="2" t="s">
        <v>30</v>
      </c>
      <c r="P16" s="2" t="s">
        <v>31</v>
      </c>
      <c r="Q16" s="2"/>
      <c r="R16" s="2"/>
    </row>
    <row r="17" customFormat="false" ht="35.05" hidden="false" customHeight="false" outlineLevel="0" collapsed="false">
      <c r="A17" s="2" t="s">
        <v>18</v>
      </c>
      <c r="B17" s="2" t="s">
        <v>100</v>
      </c>
      <c r="C17" s="2" t="s">
        <v>101</v>
      </c>
      <c r="D17" s="2" t="s">
        <v>102</v>
      </c>
      <c r="E17" s="2" t="n">
        <v>2</v>
      </c>
      <c r="F17" s="2" t="s">
        <v>103</v>
      </c>
      <c r="G17" s="2" t="s">
        <v>104</v>
      </c>
      <c r="H17" s="2" t="s">
        <v>105</v>
      </c>
      <c r="I17" s="2" t="s">
        <v>45</v>
      </c>
      <c r="J17" s="2" t="s">
        <v>52</v>
      </c>
      <c r="K17" s="2" t="s">
        <v>37</v>
      </c>
      <c r="L17" s="2" t="s">
        <v>38</v>
      </c>
      <c r="M17" s="2"/>
      <c r="N17" s="2" t="s">
        <v>106</v>
      </c>
      <c r="O17" s="2" t="s">
        <v>30</v>
      </c>
      <c r="P17" s="2" t="s">
        <v>31</v>
      </c>
      <c r="Q17" s="2"/>
      <c r="R17" s="2" t="s">
        <v>107</v>
      </c>
    </row>
    <row r="18" customFormat="false" ht="46.25" hidden="false" customHeight="false" outlineLevel="0" collapsed="false">
      <c r="A18" s="2" t="s">
        <v>18</v>
      </c>
      <c r="B18" s="2" t="s">
        <v>100</v>
      </c>
      <c r="C18" s="2" t="s">
        <v>101</v>
      </c>
      <c r="D18" s="2" t="s">
        <v>108</v>
      </c>
      <c r="E18" s="2" t="n">
        <v>1</v>
      </c>
      <c r="F18" s="2" t="s">
        <v>109</v>
      </c>
      <c r="G18" s="2" t="s">
        <v>110</v>
      </c>
      <c r="H18" s="2" t="s">
        <v>111</v>
      </c>
      <c r="I18" s="2" t="s">
        <v>25</v>
      </c>
      <c r="J18" s="2" t="s">
        <v>26</v>
      </c>
      <c r="K18" s="2" t="s">
        <v>27</v>
      </c>
      <c r="L18" s="2" t="s">
        <v>28</v>
      </c>
      <c r="M18" s="2"/>
      <c r="N18" s="2" t="s">
        <v>112</v>
      </c>
      <c r="O18" s="2" t="s">
        <v>30</v>
      </c>
      <c r="P18" s="2" t="s">
        <v>31</v>
      </c>
      <c r="Q18" s="2"/>
      <c r="R18" s="2"/>
    </row>
    <row r="19" customFormat="false" ht="35.05" hidden="false" customHeight="false" outlineLevel="0" collapsed="false">
      <c r="A19" s="2" t="s">
        <v>18</v>
      </c>
      <c r="B19" s="2" t="s">
        <v>100</v>
      </c>
      <c r="C19" s="2" t="s">
        <v>101</v>
      </c>
      <c r="D19" s="2" t="s">
        <v>113</v>
      </c>
      <c r="E19" s="2" t="n">
        <v>1</v>
      </c>
      <c r="F19" s="2" t="s">
        <v>61</v>
      </c>
      <c r="G19" s="2" t="s">
        <v>114</v>
      </c>
      <c r="H19" s="2" t="s">
        <v>115</v>
      </c>
      <c r="I19" s="2" t="s">
        <v>45</v>
      </c>
      <c r="J19" s="2" t="s">
        <v>52</v>
      </c>
      <c r="K19" s="2" t="s">
        <v>37</v>
      </c>
      <c r="L19" s="2" t="s">
        <v>38</v>
      </c>
      <c r="M19" s="2"/>
      <c r="N19" s="2"/>
      <c r="O19" s="2" t="s">
        <v>30</v>
      </c>
      <c r="P19" s="2" t="s">
        <v>31</v>
      </c>
      <c r="Q19" s="2"/>
      <c r="R19" s="2" t="s">
        <v>116</v>
      </c>
    </row>
    <row r="20" customFormat="false" ht="46.25" hidden="false" customHeight="false" outlineLevel="0" collapsed="false">
      <c r="A20" s="2" t="s">
        <v>18</v>
      </c>
      <c r="B20" s="2" t="s">
        <v>100</v>
      </c>
      <c r="C20" s="2" t="s">
        <v>101</v>
      </c>
      <c r="D20" s="2" t="s">
        <v>117</v>
      </c>
      <c r="E20" s="2" t="n">
        <v>2</v>
      </c>
      <c r="F20" s="2" t="s">
        <v>118</v>
      </c>
      <c r="G20" s="2" t="s">
        <v>119</v>
      </c>
      <c r="H20" s="2" t="s">
        <v>120</v>
      </c>
      <c r="I20" s="2" t="s">
        <v>45</v>
      </c>
      <c r="J20" s="2" t="s">
        <v>70</v>
      </c>
      <c r="K20" s="2" t="s">
        <v>37</v>
      </c>
      <c r="L20" s="2" t="s">
        <v>38</v>
      </c>
      <c r="M20" s="2"/>
      <c r="N20" s="2" t="s">
        <v>121</v>
      </c>
      <c r="O20" s="2" t="s">
        <v>30</v>
      </c>
      <c r="P20" s="2" t="s">
        <v>31</v>
      </c>
      <c r="Q20" s="2"/>
      <c r="R20" s="2"/>
    </row>
    <row r="21" customFormat="false" ht="46.25" hidden="false" customHeight="false" outlineLevel="0" collapsed="false">
      <c r="A21" s="2" t="s">
        <v>18</v>
      </c>
      <c r="B21" s="2" t="s">
        <v>100</v>
      </c>
      <c r="C21" s="2" t="s">
        <v>101</v>
      </c>
      <c r="D21" s="2" t="s">
        <v>122</v>
      </c>
      <c r="E21" s="2" t="n">
        <v>2</v>
      </c>
      <c r="F21" s="2" t="s">
        <v>123</v>
      </c>
      <c r="G21" s="2" t="s">
        <v>124</v>
      </c>
      <c r="H21" s="2" t="s">
        <v>125</v>
      </c>
      <c r="I21" s="2" t="s">
        <v>45</v>
      </c>
      <c r="J21" s="2" t="s">
        <v>52</v>
      </c>
      <c r="K21" s="2" t="s">
        <v>37</v>
      </c>
      <c r="L21" s="2" t="s">
        <v>38</v>
      </c>
      <c r="M21" s="2"/>
      <c r="N21" s="2" t="s">
        <v>126</v>
      </c>
      <c r="O21" s="2" t="s">
        <v>30</v>
      </c>
      <c r="P21" s="2" t="s">
        <v>31</v>
      </c>
      <c r="Q21" s="2"/>
      <c r="R21" s="2" t="s">
        <v>107</v>
      </c>
    </row>
    <row r="22" customFormat="false" ht="46.25" hidden="false" customHeight="false" outlineLevel="0" collapsed="false">
      <c r="A22" s="2" t="s">
        <v>18</v>
      </c>
      <c r="B22" s="2" t="s">
        <v>100</v>
      </c>
      <c r="C22" s="2" t="s">
        <v>101</v>
      </c>
      <c r="D22" s="2" t="s">
        <v>127</v>
      </c>
      <c r="E22" s="2" t="n">
        <v>1</v>
      </c>
      <c r="F22" s="2" t="s">
        <v>61</v>
      </c>
      <c r="G22" s="2" t="s">
        <v>128</v>
      </c>
      <c r="H22" s="2" t="s">
        <v>129</v>
      </c>
      <c r="I22" s="2" t="s">
        <v>45</v>
      </c>
      <c r="J22" s="2" t="s">
        <v>70</v>
      </c>
      <c r="K22" s="2" t="s">
        <v>37</v>
      </c>
      <c r="L22" s="2" t="s">
        <v>38</v>
      </c>
      <c r="M22" s="2"/>
      <c r="N22" s="2"/>
      <c r="O22" s="2" t="s">
        <v>30</v>
      </c>
      <c r="P22" s="2" t="s">
        <v>31</v>
      </c>
      <c r="Q22" s="2"/>
      <c r="R22" s="2"/>
    </row>
    <row r="23" customFormat="false" ht="68.65" hidden="false" customHeight="false" outlineLevel="0" collapsed="false">
      <c r="A23" s="2" t="s">
        <v>18</v>
      </c>
      <c r="B23" s="2" t="s">
        <v>130</v>
      </c>
      <c r="C23" s="2" t="s">
        <v>131</v>
      </c>
      <c r="D23" s="2" t="s">
        <v>132</v>
      </c>
      <c r="E23" s="2" t="n">
        <v>2</v>
      </c>
      <c r="F23" s="2" t="s">
        <v>133</v>
      </c>
      <c r="G23" s="2" t="s">
        <v>134</v>
      </c>
      <c r="H23" s="2" t="s">
        <v>135</v>
      </c>
      <c r="I23" s="2" t="s">
        <v>45</v>
      </c>
      <c r="J23" s="2" t="s">
        <v>52</v>
      </c>
      <c r="K23" s="2" t="s">
        <v>27</v>
      </c>
      <c r="L23" s="2" t="s">
        <v>28</v>
      </c>
      <c r="M23" s="2"/>
      <c r="N23" s="2" t="s">
        <v>136</v>
      </c>
      <c r="O23" s="2" t="s">
        <v>30</v>
      </c>
      <c r="P23" s="2" t="s">
        <v>31</v>
      </c>
      <c r="Q23" s="2"/>
      <c r="R23" s="2" t="s">
        <v>137</v>
      </c>
    </row>
    <row r="24" customFormat="false" ht="35.05" hidden="false" customHeight="false" outlineLevel="0" collapsed="false">
      <c r="A24" s="2" t="s">
        <v>18</v>
      </c>
      <c r="B24" s="2" t="s">
        <v>130</v>
      </c>
      <c r="C24" s="2" t="s">
        <v>131</v>
      </c>
      <c r="D24" s="2" t="s">
        <v>138</v>
      </c>
      <c r="E24" s="2" t="n">
        <v>1</v>
      </c>
      <c r="F24" s="2" t="s">
        <v>61</v>
      </c>
      <c r="G24" s="2" t="s">
        <v>139</v>
      </c>
      <c r="H24" s="2" t="s">
        <v>140</v>
      </c>
      <c r="I24" s="2" t="s">
        <v>45</v>
      </c>
      <c r="J24" s="2" t="s">
        <v>70</v>
      </c>
      <c r="K24" s="2" t="s">
        <v>37</v>
      </c>
      <c r="L24" s="2" t="s">
        <v>38</v>
      </c>
      <c r="M24" s="2"/>
      <c r="N24" s="2"/>
      <c r="O24" s="2" t="s">
        <v>30</v>
      </c>
      <c r="P24" s="2" t="s">
        <v>31</v>
      </c>
      <c r="Q24" s="2"/>
      <c r="R24" s="2"/>
    </row>
    <row r="25" customFormat="false" ht="35.05" hidden="false" customHeight="false" outlineLevel="0" collapsed="false">
      <c r="A25" s="2" t="s">
        <v>18</v>
      </c>
      <c r="B25" s="2" t="s">
        <v>130</v>
      </c>
      <c r="C25" s="2" t="s">
        <v>131</v>
      </c>
      <c r="D25" s="2" t="s">
        <v>141</v>
      </c>
      <c r="E25" s="2" t="n">
        <v>1</v>
      </c>
      <c r="F25" s="2" t="s">
        <v>61</v>
      </c>
      <c r="G25" s="2" t="s">
        <v>142</v>
      </c>
      <c r="H25" s="2" t="s">
        <v>143</v>
      </c>
      <c r="I25" s="2" t="s">
        <v>45</v>
      </c>
      <c r="J25" s="2" t="s">
        <v>52</v>
      </c>
      <c r="K25" s="2" t="s">
        <v>37</v>
      </c>
      <c r="L25" s="2" t="s">
        <v>38</v>
      </c>
      <c r="M25" s="2"/>
      <c r="N25" s="2"/>
      <c r="O25" s="2" t="s">
        <v>30</v>
      </c>
      <c r="P25" s="2" t="s">
        <v>31</v>
      </c>
      <c r="Q25" s="2"/>
      <c r="R25" s="2" t="s">
        <v>144</v>
      </c>
    </row>
    <row r="26" customFormat="false" ht="35.05" hidden="false" customHeight="false" outlineLevel="0" collapsed="false">
      <c r="A26" s="2" t="s">
        <v>18</v>
      </c>
      <c r="B26" s="2" t="s">
        <v>130</v>
      </c>
      <c r="C26" s="2" t="s">
        <v>131</v>
      </c>
      <c r="D26" s="2" t="s">
        <v>145</v>
      </c>
      <c r="E26" s="2" t="n">
        <v>1</v>
      </c>
      <c r="F26" s="2" t="s">
        <v>61</v>
      </c>
      <c r="G26" s="2" t="s">
        <v>146</v>
      </c>
      <c r="H26" s="2" t="s">
        <v>147</v>
      </c>
      <c r="I26" s="2" t="s">
        <v>45</v>
      </c>
      <c r="J26" s="2" t="s">
        <v>52</v>
      </c>
      <c r="K26" s="2" t="s">
        <v>37</v>
      </c>
      <c r="L26" s="2" t="s">
        <v>38</v>
      </c>
      <c r="M26" s="2"/>
      <c r="N26" s="2"/>
      <c r="O26" s="2" t="s">
        <v>30</v>
      </c>
      <c r="P26" s="2" t="s">
        <v>31</v>
      </c>
      <c r="Q26" s="2"/>
      <c r="R26" s="2"/>
    </row>
    <row r="27" customFormat="false" ht="35.05" hidden="false" customHeight="false" outlineLevel="0" collapsed="false">
      <c r="A27" s="2" t="s">
        <v>18</v>
      </c>
      <c r="B27" s="2" t="s">
        <v>130</v>
      </c>
      <c r="C27" s="2" t="s">
        <v>131</v>
      </c>
      <c r="D27" s="2" t="s">
        <v>148</v>
      </c>
      <c r="E27" s="2" t="n">
        <v>1</v>
      </c>
      <c r="F27" s="2" t="s">
        <v>61</v>
      </c>
      <c r="G27" s="2" t="s">
        <v>149</v>
      </c>
      <c r="H27" s="2" t="s">
        <v>150</v>
      </c>
      <c r="I27" s="2" t="s">
        <v>45</v>
      </c>
      <c r="J27" s="2" t="s">
        <v>70</v>
      </c>
      <c r="K27" s="2" t="s">
        <v>37</v>
      </c>
      <c r="L27" s="2" t="s">
        <v>38</v>
      </c>
      <c r="M27" s="2"/>
      <c r="N27" s="2"/>
      <c r="O27" s="2" t="s">
        <v>30</v>
      </c>
      <c r="P27" s="2" t="s">
        <v>31</v>
      </c>
      <c r="Q27" s="2"/>
      <c r="R27" s="2" t="s">
        <v>151</v>
      </c>
    </row>
    <row r="28" customFormat="false" ht="35.05" hidden="false" customHeight="false" outlineLevel="0" collapsed="false">
      <c r="A28" s="2" t="s">
        <v>18</v>
      </c>
      <c r="B28" s="2" t="s">
        <v>130</v>
      </c>
      <c r="C28" s="2" t="s">
        <v>131</v>
      </c>
      <c r="D28" s="2" t="s">
        <v>152</v>
      </c>
      <c r="E28" s="2" t="n">
        <v>1</v>
      </c>
      <c r="F28" s="2" t="s">
        <v>61</v>
      </c>
      <c r="G28" s="2" t="s">
        <v>153</v>
      </c>
      <c r="H28" s="2" t="s">
        <v>154</v>
      </c>
      <c r="I28" s="2" t="s">
        <v>25</v>
      </c>
      <c r="J28" s="2" t="s">
        <v>52</v>
      </c>
      <c r="K28" s="2" t="s">
        <v>37</v>
      </c>
      <c r="L28" s="2" t="s">
        <v>38</v>
      </c>
      <c r="M28" s="2"/>
      <c r="N28" s="2"/>
      <c r="O28" s="2" t="s">
        <v>30</v>
      </c>
      <c r="P28" s="2" t="s">
        <v>155</v>
      </c>
      <c r="Q28" s="2" t="s">
        <v>156</v>
      </c>
      <c r="R28" s="2" t="s">
        <v>157</v>
      </c>
    </row>
    <row r="29" customFormat="false" ht="35.05" hidden="false" customHeight="false" outlineLevel="0" collapsed="false">
      <c r="A29" s="2" t="s">
        <v>18</v>
      </c>
      <c r="B29" s="2" t="s">
        <v>130</v>
      </c>
      <c r="C29" s="2" t="s">
        <v>131</v>
      </c>
      <c r="D29" s="2" t="s">
        <v>158</v>
      </c>
      <c r="E29" s="2" t="n">
        <v>1</v>
      </c>
      <c r="F29" s="2" t="s">
        <v>159</v>
      </c>
      <c r="G29" s="2" t="s">
        <v>160</v>
      </c>
      <c r="H29" s="2" t="s">
        <v>161</v>
      </c>
      <c r="I29" s="2" t="s">
        <v>25</v>
      </c>
      <c r="J29" s="2" t="s">
        <v>52</v>
      </c>
      <c r="K29" s="2" t="s">
        <v>27</v>
      </c>
      <c r="L29" s="2" t="s">
        <v>28</v>
      </c>
      <c r="M29" s="2"/>
      <c r="N29" s="2" t="s">
        <v>162</v>
      </c>
      <c r="O29" s="2" t="s">
        <v>30</v>
      </c>
      <c r="P29" s="2" t="s">
        <v>31</v>
      </c>
      <c r="Q29" s="2"/>
      <c r="R29" s="2" t="s">
        <v>137</v>
      </c>
    </row>
    <row r="30" customFormat="false" ht="46.25" hidden="false" customHeight="false" outlineLevel="0" collapsed="false">
      <c r="A30" s="2" t="s">
        <v>18</v>
      </c>
      <c r="B30" s="2" t="s">
        <v>163</v>
      </c>
      <c r="C30" s="2" t="s">
        <v>164</v>
      </c>
      <c r="D30" s="2" t="s">
        <v>165</v>
      </c>
      <c r="E30" s="2" t="n">
        <v>2</v>
      </c>
      <c r="F30" s="2" t="s">
        <v>166</v>
      </c>
      <c r="G30" s="2" t="s">
        <v>167</v>
      </c>
      <c r="H30" s="2" t="s">
        <v>168</v>
      </c>
      <c r="I30" s="2" t="s">
        <v>45</v>
      </c>
      <c r="J30" s="2" t="s">
        <v>52</v>
      </c>
      <c r="K30" s="2" t="s">
        <v>27</v>
      </c>
      <c r="L30" s="2" t="s">
        <v>28</v>
      </c>
      <c r="M30" s="2"/>
      <c r="N30" s="2" t="s">
        <v>169</v>
      </c>
      <c r="O30" s="2" t="s">
        <v>30</v>
      </c>
      <c r="P30" s="2" t="s">
        <v>31</v>
      </c>
      <c r="Q30" s="2"/>
      <c r="R30" s="2" t="s">
        <v>96</v>
      </c>
    </row>
    <row r="31" customFormat="false" ht="46.25" hidden="false" customHeight="false" outlineLevel="0" collapsed="false">
      <c r="A31" s="2" t="s">
        <v>18</v>
      </c>
      <c r="B31" s="2" t="s">
        <v>163</v>
      </c>
      <c r="C31" s="2" t="s">
        <v>164</v>
      </c>
      <c r="D31" s="2" t="s">
        <v>170</v>
      </c>
      <c r="E31" s="2" t="n">
        <v>2</v>
      </c>
      <c r="F31" s="2" t="s">
        <v>92</v>
      </c>
      <c r="G31" s="2" t="s">
        <v>171</v>
      </c>
      <c r="H31" s="2" t="s">
        <v>172</v>
      </c>
      <c r="I31" s="2" t="s">
        <v>45</v>
      </c>
      <c r="J31" s="2" t="s">
        <v>70</v>
      </c>
      <c r="K31" s="2" t="s">
        <v>27</v>
      </c>
      <c r="L31" s="2" t="s">
        <v>28</v>
      </c>
      <c r="M31" s="2"/>
      <c r="N31" s="2" t="s">
        <v>173</v>
      </c>
      <c r="O31" s="2" t="s">
        <v>30</v>
      </c>
      <c r="P31" s="2" t="s">
        <v>31</v>
      </c>
      <c r="Q31" s="2"/>
      <c r="R31" s="2"/>
    </row>
    <row r="32" customFormat="false" ht="46.25" hidden="false" customHeight="false" outlineLevel="0" collapsed="false">
      <c r="A32" s="2" t="s">
        <v>18</v>
      </c>
      <c r="B32" s="2" t="s">
        <v>163</v>
      </c>
      <c r="C32" s="2" t="s">
        <v>164</v>
      </c>
      <c r="D32" s="2" t="s">
        <v>174</v>
      </c>
      <c r="E32" s="2" t="n">
        <v>1</v>
      </c>
      <c r="F32" s="2" t="s">
        <v>61</v>
      </c>
      <c r="G32" s="2" t="s">
        <v>175</v>
      </c>
      <c r="H32" s="2" t="s">
        <v>176</v>
      </c>
      <c r="I32" s="2" t="s">
        <v>45</v>
      </c>
      <c r="J32" s="2" t="s">
        <v>70</v>
      </c>
      <c r="K32" s="2" t="s">
        <v>37</v>
      </c>
      <c r="L32" s="2" t="s">
        <v>38</v>
      </c>
      <c r="M32" s="2"/>
      <c r="N32" s="2"/>
      <c r="O32" s="2" t="s">
        <v>30</v>
      </c>
      <c r="P32" s="2" t="s">
        <v>31</v>
      </c>
      <c r="Q32" s="2"/>
      <c r="R32" s="2"/>
    </row>
    <row r="33" customFormat="false" ht="35.05" hidden="false" customHeight="false" outlineLevel="0" collapsed="false">
      <c r="A33" s="2" t="s">
        <v>18</v>
      </c>
      <c r="B33" s="2" t="s">
        <v>163</v>
      </c>
      <c r="C33" s="2" t="s">
        <v>164</v>
      </c>
      <c r="D33" s="2" t="s">
        <v>177</v>
      </c>
      <c r="E33" s="2" t="n">
        <v>1</v>
      </c>
      <c r="F33" s="2" t="s">
        <v>61</v>
      </c>
      <c r="G33" s="2" t="s">
        <v>178</v>
      </c>
      <c r="H33" s="2" t="s">
        <v>179</v>
      </c>
      <c r="I33" s="2" t="s">
        <v>45</v>
      </c>
      <c r="J33" s="2" t="s">
        <v>70</v>
      </c>
      <c r="K33" s="2" t="s">
        <v>37</v>
      </c>
      <c r="L33" s="2" t="s">
        <v>38</v>
      </c>
      <c r="M33" s="2"/>
      <c r="N33" s="2"/>
      <c r="O33" s="2" t="s">
        <v>30</v>
      </c>
      <c r="P33" s="2" t="s">
        <v>31</v>
      </c>
      <c r="Q33" s="2"/>
      <c r="R33" s="2"/>
    </row>
    <row r="34" customFormat="false" ht="46.25" hidden="false" customHeight="false" outlineLevel="0" collapsed="false">
      <c r="A34" s="2" t="s">
        <v>18</v>
      </c>
      <c r="B34" s="2" t="s">
        <v>163</v>
      </c>
      <c r="C34" s="2" t="s">
        <v>164</v>
      </c>
      <c r="D34" s="2" t="s">
        <v>180</v>
      </c>
      <c r="E34" s="2" t="n">
        <v>2</v>
      </c>
      <c r="F34" s="2" t="s">
        <v>181</v>
      </c>
      <c r="G34" s="2" t="s">
        <v>182</v>
      </c>
      <c r="H34" s="2" t="s">
        <v>183</v>
      </c>
      <c r="I34" s="2" t="s">
        <v>45</v>
      </c>
      <c r="J34" s="2" t="s">
        <v>52</v>
      </c>
      <c r="K34" s="2" t="s">
        <v>27</v>
      </c>
      <c r="L34" s="2" t="s">
        <v>28</v>
      </c>
      <c r="M34" s="2"/>
      <c r="N34" s="2" t="s">
        <v>184</v>
      </c>
      <c r="O34" s="2" t="s">
        <v>30</v>
      </c>
      <c r="P34" s="2" t="s">
        <v>31</v>
      </c>
      <c r="Q34" s="2"/>
      <c r="R34" s="2" t="s">
        <v>116</v>
      </c>
    </row>
    <row r="35" customFormat="false" ht="46.25" hidden="false" customHeight="false" outlineLevel="0" collapsed="false">
      <c r="A35" s="2" t="s">
        <v>18</v>
      </c>
      <c r="B35" s="2" t="s">
        <v>163</v>
      </c>
      <c r="C35" s="2" t="s">
        <v>164</v>
      </c>
      <c r="D35" s="2" t="s">
        <v>185</v>
      </c>
      <c r="E35" s="2" t="n">
        <v>1</v>
      </c>
      <c r="F35" s="2" t="s">
        <v>186</v>
      </c>
      <c r="G35" s="2" t="s">
        <v>187</v>
      </c>
      <c r="H35" s="2" t="s">
        <v>188</v>
      </c>
      <c r="I35" s="2" t="s">
        <v>25</v>
      </c>
      <c r="J35" s="2" t="s">
        <v>52</v>
      </c>
      <c r="K35" s="2" t="s">
        <v>37</v>
      </c>
      <c r="L35" s="2" t="s">
        <v>38</v>
      </c>
      <c r="M35" s="2"/>
      <c r="N35" s="2" t="s">
        <v>189</v>
      </c>
      <c r="O35" s="2" t="s">
        <v>30</v>
      </c>
      <c r="P35" s="2" t="s">
        <v>31</v>
      </c>
      <c r="Q35" s="2"/>
      <c r="R35" s="2" t="s">
        <v>96</v>
      </c>
    </row>
    <row r="36" customFormat="false" ht="35.05" hidden="false" customHeight="false" outlineLevel="0" collapsed="false">
      <c r="A36" s="2" t="s">
        <v>18</v>
      </c>
      <c r="B36" s="2" t="s">
        <v>163</v>
      </c>
      <c r="C36" s="2" t="s">
        <v>164</v>
      </c>
      <c r="D36" s="2" t="s">
        <v>190</v>
      </c>
      <c r="E36" s="2" t="n">
        <v>2</v>
      </c>
      <c r="F36" s="2" t="s">
        <v>191</v>
      </c>
      <c r="G36" s="2" t="s">
        <v>192</v>
      </c>
      <c r="H36" s="2" t="s">
        <v>193</v>
      </c>
      <c r="I36" s="2" t="s">
        <v>45</v>
      </c>
      <c r="J36" s="2" t="s">
        <v>52</v>
      </c>
      <c r="K36" s="2" t="s">
        <v>27</v>
      </c>
      <c r="L36" s="2" t="s">
        <v>28</v>
      </c>
      <c r="M36" s="2"/>
      <c r="N36" s="2" t="s">
        <v>194</v>
      </c>
      <c r="O36" s="2" t="s">
        <v>30</v>
      </c>
      <c r="P36" s="2" t="s">
        <v>31</v>
      </c>
      <c r="Q36" s="2"/>
      <c r="R36" s="2" t="s">
        <v>195</v>
      </c>
    </row>
    <row r="37" customFormat="false" ht="46.25" hidden="false" customHeight="false" outlineLevel="0" collapsed="false">
      <c r="A37" s="2" t="s">
        <v>18</v>
      </c>
      <c r="B37" s="2" t="s">
        <v>163</v>
      </c>
      <c r="C37" s="2" t="s">
        <v>164</v>
      </c>
      <c r="D37" s="2" t="s">
        <v>196</v>
      </c>
      <c r="E37" s="2" t="n">
        <v>1</v>
      </c>
      <c r="F37" s="2" t="s">
        <v>61</v>
      </c>
      <c r="G37" s="2" t="s">
        <v>197</v>
      </c>
      <c r="H37" s="2" t="s">
        <v>198</v>
      </c>
      <c r="I37" s="2" t="s">
        <v>45</v>
      </c>
      <c r="J37" s="2" t="s">
        <v>70</v>
      </c>
      <c r="K37" s="2" t="s">
        <v>37</v>
      </c>
      <c r="L37" s="2" t="s">
        <v>38</v>
      </c>
      <c r="M37" s="2"/>
      <c r="N37" s="2"/>
      <c r="O37" s="2" t="s">
        <v>30</v>
      </c>
      <c r="P37" s="2" t="s">
        <v>31</v>
      </c>
      <c r="Q37" s="2"/>
      <c r="R3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8"/>
    <col collapsed="false" customWidth="true" hidden="false" outlineLevel="0" max="5" min="4" style="0" width="16"/>
    <col collapsed="false" customWidth="true" hidden="false" outlineLevel="0" max="6" min="6" style="0" width="40"/>
    <col collapsed="false" customWidth="true" hidden="false" outlineLevel="0" max="7" min="7" style="0" width="60"/>
    <col collapsed="false" customWidth="true" hidden="false" outlineLevel="0" max="8" min="8" style="0" width="50"/>
    <col collapsed="false" customWidth="true" hidden="false" outlineLevel="0" max="10" min="9" style="0" width="16"/>
    <col collapsed="false" customWidth="true" hidden="false" outlineLevel="0" max="11" min="11" style="0" width="26"/>
    <col collapsed="false" customWidth="true" hidden="false" outlineLevel="0" max="12" min="12" style="0" width="40"/>
    <col collapsed="false" customWidth="true" hidden="false" outlineLevel="0" max="13" min="13" style="0" width="45"/>
    <col collapsed="false" customWidth="true" hidden="false" outlineLevel="0" max="14" min="14" style="0" width="55"/>
    <col collapsed="false" customWidth="true" hidden="false" outlineLevel="0" max="15" min="15" style="0" width="16"/>
    <col collapsed="false" customWidth="true" hidden="false" outlineLevel="0" max="16" min="16" style="0" width="40"/>
    <col collapsed="false" customWidth="true" hidden="false" outlineLevel="0" max="17" min="17" style="0" width="70"/>
    <col collapsed="false" customWidth="true" hidden="false" outlineLevel="0" max="18" min="18" style="0" width="45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91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n">
        <v>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/>
      <c r="N2" s="2" t="s">
        <v>29</v>
      </c>
      <c r="O2" s="2" t="s">
        <v>30</v>
      </c>
      <c r="P2" s="2" t="s">
        <v>31</v>
      </c>
      <c r="Q2" s="2"/>
      <c r="R2" s="2" t="s">
        <v>32</v>
      </c>
    </row>
    <row r="3" customFormat="false" ht="35.05" hidden="false" customHeight="false" outlineLevel="0" collapsed="false">
      <c r="A3" s="2" t="s">
        <v>18</v>
      </c>
      <c r="B3" s="2" t="s">
        <v>19</v>
      </c>
      <c r="C3" s="2" t="s">
        <v>20</v>
      </c>
      <c r="D3" s="2" t="s">
        <v>33</v>
      </c>
      <c r="E3" s="2" t="n">
        <v>1</v>
      </c>
      <c r="F3" s="2" t="s">
        <v>34</v>
      </c>
      <c r="G3" s="2" t="s">
        <v>35</v>
      </c>
      <c r="H3" s="2" t="s">
        <v>36</v>
      </c>
      <c r="I3" s="2" t="s">
        <v>25</v>
      </c>
      <c r="J3" s="2" t="s">
        <v>26</v>
      </c>
      <c r="K3" s="2" t="s">
        <v>37</v>
      </c>
      <c r="L3" s="2" t="s">
        <v>38</v>
      </c>
      <c r="M3" s="2"/>
      <c r="N3" s="2" t="s">
        <v>39</v>
      </c>
      <c r="O3" s="2" t="s">
        <v>30</v>
      </c>
      <c r="P3" s="2" t="s">
        <v>31</v>
      </c>
      <c r="Q3" s="2"/>
      <c r="R3" s="2" t="s">
        <v>40</v>
      </c>
    </row>
    <row r="4" customFormat="false" ht="46.25" hidden="false" customHeight="false" outlineLevel="0" collapsed="false">
      <c r="A4" s="2" t="s">
        <v>18</v>
      </c>
      <c r="B4" s="2" t="s">
        <v>19</v>
      </c>
      <c r="C4" s="2" t="s">
        <v>20</v>
      </c>
      <c r="D4" s="2" t="s">
        <v>41</v>
      </c>
      <c r="E4" s="2" t="n">
        <v>1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26</v>
      </c>
      <c r="K4" s="2" t="s">
        <v>27</v>
      </c>
      <c r="L4" s="2" t="s">
        <v>28</v>
      </c>
      <c r="M4" s="2"/>
      <c r="N4" s="2" t="s">
        <v>46</v>
      </c>
      <c r="O4" s="2" t="s">
        <v>30</v>
      </c>
      <c r="P4" s="2" t="s">
        <v>31</v>
      </c>
      <c r="Q4" s="2"/>
      <c r="R4" s="2" t="s">
        <v>47</v>
      </c>
    </row>
    <row r="5" customFormat="false" ht="35.05" hidden="false" customHeight="false" outlineLevel="0" collapsed="false">
      <c r="A5" s="2" t="s">
        <v>18</v>
      </c>
      <c r="B5" s="2" t="s">
        <v>19</v>
      </c>
      <c r="C5" s="2" t="s">
        <v>20</v>
      </c>
      <c r="D5" s="2" t="s">
        <v>48</v>
      </c>
      <c r="E5" s="2" t="n">
        <v>1</v>
      </c>
      <c r="F5" s="2" t="s">
        <v>49</v>
      </c>
      <c r="G5" s="2" t="s">
        <v>50</v>
      </c>
      <c r="H5" s="2" t="s">
        <v>51</v>
      </c>
      <c r="I5" s="2" t="s">
        <v>45</v>
      </c>
      <c r="J5" s="2" t="s">
        <v>52</v>
      </c>
      <c r="K5" s="2" t="s">
        <v>27</v>
      </c>
      <c r="L5" s="2" t="s">
        <v>28</v>
      </c>
      <c r="M5" s="2"/>
      <c r="N5" s="2" t="s">
        <v>53</v>
      </c>
      <c r="O5" s="2" t="s">
        <v>30</v>
      </c>
      <c r="P5" s="2" t="s">
        <v>31</v>
      </c>
      <c r="Q5" s="2"/>
      <c r="R5" s="2"/>
    </row>
    <row r="6" customFormat="false" ht="281.3" hidden="false" customHeight="false" outlineLevel="0" collapsed="false">
      <c r="A6" s="2" t="s">
        <v>18</v>
      </c>
      <c r="B6" s="2" t="s">
        <v>19</v>
      </c>
      <c r="C6" s="2" t="s">
        <v>20</v>
      </c>
      <c r="D6" s="2" t="s">
        <v>54</v>
      </c>
      <c r="E6" s="2" t="n">
        <v>1</v>
      </c>
      <c r="F6" s="2" t="s">
        <v>55</v>
      </c>
      <c r="G6" s="2" t="s">
        <v>56</v>
      </c>
      <c r="H6" s="2" t="s">
        <v>57</v>
      </c>
      <c r="I6" s="2" t="s">
        <v>45</v>
      </c>
      <c r="J6" s="2" t="s">
        <v>26</v>
      </c>
      <c r="K6" s="2" t="s">
        <v>27</v>
      </c>
      <c r="L6" s="2" t="s">
        <v>28</v>
      </c>
      <c r="M6" s="2" t="s">
        <v>58</v>
      </c>
      <c r="N6" s="2" t="s">
        <v>59</v>
      </c>
      <c r="O6" s="2" t="s">
        <v>30</v>
      </c>
      <c r="P6" s="2" t="s">
        <v>31</v>
      </c>
      <c r="Q6" s="2"/>
      <c r="R6" s="2"/>
    </row>
    <row r="7" customFormat="false" ht="35.05" hidden="false" customHeight="false" outlineLevel="0" collapsed="false">
      <c r="A7" s="2" t="s">
        <v>18</v>
      </c>
      <c r="B7" s="2" t="s">
        <v>19</v>
      </c>
      <c r="C7" s="2" t="s">
        <v>20</v>
      </c>
      <c r="D7" s="2" t="s">
        <v>60</v>
      </c>
      <c r="E7" s="2" t="n">
        <v>1</v>
      </c>
      <c r="F7" s="2" t="s">
        <v>61</v>
      </c>
      <c r="G7" s="2" t="s">
        <v>62</v>
      </c>
      <c r="H7" s="2" t="s">
        <v>63</v>
      </c>
      <c r="I7" s="2" t="s">
        <v>45</v>
      </c>
      <c r="J7" s="2" t="s">
        <v>52</v>
      </c>
      <c r="K7" s="2" t="s">
        <v>37</v>
      </c>
      <c r="L7" s="2" t="s">
        <v>38</v>
      </c>
      <c r="M7" s="2"/>
      <c r="N7" s="2"/>
      <c r="O7" s="2" t="s">
        <v>30</v>
      </c>
      <c r="P7" s="2" t="s">
        <v>64</v>
      </c>
      <c r="Q7" s="2" t="s">
        <v>65</v>
      </c>
      <c r="R7" s="2" t="s">
        <v>66</v>
      </c>
    </row>
    <row r="8" customFormat="false" ht="35.05" hidden="false" customHeight="false" outlineLevel="0" collapsed="false">
      <c r="A8" s="2" t="s">
        <v>18</v>
      </c>
      <c r="B8" s="2" t="s">
        <v>19</v>
      </c>
      <c r="C8" s="2" t="s">
        <v>20</v>
      </c>
      <c r="D8" s="2" t="s">
        <v>67</v>
      </c>
      <c r="E8" s="2" t="n">
        <v>1</v>
      </c>
      <c r="F8" s="2" t="s">
        <v>61</v>
      </c>
      <c r="G8" s="2" t="s">
        <v>68</v>
      </c>
      <c r="H8" s="2" t="s">
        <v>69</v>
      </c>
      <c r="I8" s="2" t="s">
        <v>45</v>
      </c>
      <c r="J8" s="2" t="s">
        <v>70</v>
      </c>
      <c r="K8" s="2" t="s">
        <v>37</v>
      </c>
      <c r="L8" s="2" t="s">
        <v>38</v>
      </c>
      <c r="M8" s="2"/>
      <c r="N8" s="2"/>
      <c r="O8" s="2" t="s">
        <v>30</v>
      </c>
      <c r="P8" s="2" t="s">
        <v>31</v>
      </c>
      <c r="Q8" s="2"/>
      <c r="R8" s="2"/>
    </row>
    <row r="9" customFormat="false" ht="46.25" hidden="false" customHeight="false" outlineLevel="0" collapsed="false">
      <c r="A9" s="2" t="s">
        <v>18</v>
      </c>
      <c r="B9" s="2" t="s">
        <v>71</v>
      </c>
      <c r="C9" s="2" t="s">
        <v>72</v>
      </c>
      <c r="D9" s="2" t="s">
        <v>73</v>
      </c>
      <c r="E9" s="2" t="n">
        <v>1</v>
      </c>
      <c r="F9" s="2" t="s">
        <v>61</v>
      </c>
      <c r="G9" s="2" t="s">
        <v>74</v>
      </c>
      <c r="H9" s="2" t="s">
        <v>75</v>
      </c>
      <c r="I9" s="2" t="s">
        <v>25</v>
      </c>
      <c r="J9" s="2" t="s">
        <v>26</v>
      </c>
      <c r="K9" s="2" t="s">
        <v>37</v>
      </c>
      <c r="L9" s="2" t="s">
        <v>38</v>
      </c>
      <c r="M9" s="2"/>
      <c r="N9" s="2"/>
      <c r="O9" s="2" t="s">
        <v>30</v>
      </c>
      <c r="P9" s="2" t="s">
        <v>31</v>
      </c>
      <c r="Q9" s="2"/>
      <c r="R9" s="2" t="s">
        <v>32</v>
      </c>
    </row>
    <row r="10" customFormat="false" ht="35.05" hidden="false" customHeight="false" outlineLevel="0" collapsed="false">
      <c r="A10" s="2" t="s">
        <v>18</v>
      </c>
      <c r="B10" s="2" t="s">
        <v>71</v>
      </c>
      <c r="C10" s="2" t="s">
        <v>72</v>
      </c>
      <c r="D10" s="2" t="s">
        <v>76</v>
      </c>
      <c r="E10" s="2" t="n">
        <v>1</v>
      </c>
      <c r="F10" s="2" t="s">
        <v>61</v>
      </c>
      <c r="G10" s="2" t="s">
        <v>77</v>
      </c>
      <c r="H10" s="2" t="s">
        <v>78</v>
      </c>
      <c r="I10" s="2" t="s">
        <v>45</v>
      </c>
      <c r="J10" s="2" t="s">
        <v>70</v>
      </c>
      <c r="K10" s="2" t="s">
        <v>37</v>
      </c>
      <c r="L10" s="2" t="s">
        <v>38</v>
      </c>
      <c r="M10" s="2"/>
      <c r="N10" s="2"/>
      <c r="O10" s="2" t="s">
        <v>30</v>
      </c>
      <c r="P10" s="2" t="s">
        <v>31</v>
      </c>
      <c r="Q10" s="2"/>
      <c r="R10" s="2"/>
    </row>
    <row r="11" customFormat="false" ht="35.05" hidden="false" customHeight="false" outlineLevel="0" collapsed="false">
      <c r="A11" s="2" t="s">
        <v>18</v>
      </c>
      <c r="B11" s="2" t="s">
        <v>71</v>
      </c>
      <c r="C11" s="2" t="s">
        <v>72</v>
      </c>
      <c r="D11" s="2" t="s">
        <v>79</v>
      </c>
      <c r="E11" s="2" t="n">
        <v>1</v>
      </c>
      <c r="F11" s="2" t="s">
        <v>61</v>
      </c>
      <c r="G11" s="2" t="s">
        <v>80</v>
      </c>
      <c r="H11" s="2" t="s">
        <v>81</v>
      </c>
      <c r="I11" s="2" t="s">
        <v>45</v>
      </c>
      <c r="J11" s="2" t="s">
        <v>52</v>
      </c>
      <c r="K11" s="2" t="s">
        <v>37</v>
      </c>
      <c r="L11" s="2" t="s">
        <v>38</v>
      </c>
      <c r="M11" s="2"/>
      <c r="N11" s="2"/>
      <c r="O11" s="2" t="s">
        <v>30</v>
      </c>
      <c r="P11" s="2" t="s">
        <v>31</v>
      </c>
      <c r="Q11" s="2"/>
      <c r="R11" s="2"/>
    </row>
    <row r="12" customFormat="false" ht="35.05" hidden="false" customHeight="false" outlineLevel="0" collapsed="false">
      <c r="A12" s="2" t="s">
        <v>18</v>
      </c>
      <c r="B12" s="2" t="s">
        <v>71</v>
      </c>
      <c r="C12" s="2" t="s">
        <v>72</v>
      </c>
      <c r="D12" s="2" t="s">
        <v>82</v>
      </c>
      <c r="E12" s="2" t="n">
        <v>1</v>
      </c>
      <c r="F12" s="2" t="s">
        <v>61</v>
      </c>
      <c r="G12" s="2" t="s">
        <v>83</v>
      </c>
      <c r="H12" s="2" t="s">
        <v>84</v>
      </c>
      <c r="I12" s="2" t="s">
        <v>45</v>
      </c>
      <c r="J12" s="2" t="s">
        <v>70</v>
      </c>
      <c r="K12" s="2" t="s">
        <v>37</v>
      </c>
      <c r="L12" s="2" t="s">
        <v>38</v>
      </c>
      <c r="M12" s="2"/>
      <c r="N12" s="2"/>
      <c r="O12" s="2" t="s">
        <v>30</v>
      </c>
      <c r="P12" s="2" t="s">
        <v>31</v>
      </c>
      <c r="Q12" s="2"/>
      <c r="R12" s="2"/>
    </row>
    <row r="13" customFormat="false" ht="35.05" hidden="false" customHeight="false" outlineLevel="0" collapsed="false">
      <c r="A13" s="2" t="s">
        <v>18</v>
      </c>
      <c r="B13" s="2" t="s">
        <v>71</v>
      </c>
      <c r="C13" s="2" t="s">
        <v>72</v>
      </c>
      <c r="D13" s="2" t="s">
        <v>85</v>
      </c>
      <c r="E13" s="2" t="n">
        <v>1</v>
      </c>
      <c r="F13" s="2" t="s">
        <v>61</v>
      </c>
      <c r="G13" s="2" t="s">
        <v>86</v>
      </c>
      <c r="H13" s="2" t="s">
        <v>87</v>
      </c>
      <c r="I13" s="2" t="s">
        <v>45</v>
      </c>
      <c r="J13" s="2" t="s">
        <v>52</v>
      </c>
      <c r="K13" s="2" t="s">
        <v>37</v>
      </c>
      <c r="L13" s="2" t="s">
        <v>38</v>
      </c>
      <c r="M13" s="2"/>
      <c r="N13" s="2"/>
      <c r="O13" s="2" t="s">
        <v>30</v>
      </c>
      <c r="P13" s="2" t="s">
        <v>31</v>
      </c>
      <c r="Q13" s="2"/>
      <c r="R13" s="2"/>
    </row>
    <row r="14" customFormat="false" ht="46.25" hidden="false" customHeight="false" outlineLevel="0" collapsed="false">
      <c r="A14" s="2" t="s">
        <v>18</v>
      </c>
      <c r="B14" s="2" t="s">
        <v>71</v>
      </c>
      <c r="C14" s="2" t="s">
        <v>72</v>
      </c>
      <c r="D14" s="2" t="s">
        <v>88</v>
      </c>
      <c r="E14" s="2" t="n">
        <v>1</v>
      </c>
      <c r="F14" s="2" t="s">
        <v>61</v>
      </c>
      <c r="G14" s="2" t="s">
        <v>89</v>
      </c>
      <c r="H14" s="2" t="s">
        <v>90</v>
      </c>
      <c r="I14" s="2" t="s">
        <v>45</v>
      </c>
      <c r="J14" s="2" t="s">
        <v>70</v>
      </c>
      <c r="K14" s="2" t="s">
        <v>37</v>
      </c>
      <c r="L14" s="2" t="s">
        <v>38</v>
      </c>
      <c r="M14" s="2"/>
      <c r="N14" s="2"/>
      <c r="O14" s="2" t="s">
        <v>30</v>
      </c>
      <c r="P14" s="2" t="s">
        <v>31</v>
      </c>
      <c r="Q14" s="2"/>
      <c r="R14" s="2"/>
    </row>
    <row r="15" customFormat="false" ht="35.05" hidden="false" customHeight="false" outlineLevel="0" collapsed="false">
      <c r="A15" s="2" t="s">
        <v>18</v>
      </c>
      <c r="B15" s="2" t="s">
        <v>71</v>
      </c>
      <c r="C15" s="2" t="s">
        <v>72</v>
      </c>
      <c r="D15" s="2" t="s">
        <v>97</v>
      </c>
      <c r="E15" s="2" t="n">
        <v>1</v>
      </c>
      <c r="F15" s="2" t="s">
        <v>61</v>
      </c>
      <c r="G15" s="2" t="s">
        <v>98</v>
      </c>
      <c r="H15" s="2" t="s">
        <v>99</v>
      </c>
      <c r="I15" s="2" t="s">
        <v>45</v>
      </c>
      <c r="J15" s="2" t="s">
        <v>70</v>
      </c>
      <c r="K15" s="2" t="s">
        <v>37</v>
      </c>
      <c r="L15" s="2" t="s">
        <v>38</v>
      </c>
      <c r="M15" s="2"/>
      <c r="N15" s="2"/>
      <c r="O15" s="2" t="s">
        <v>30</v>
      </c>
      <c r="P15" s="2" t="s">
        <v>31</v>
      </c>
      <c r="Q15" s="2"/>
      <c r="R15" s="2"/>
    </row>
    <row r="16" customFormat="false" ht="46.25" hidden="false" customHeight="false" outlineLevel="0" collapsed="false">
      <c r="A16" s="2" t="s">
        <v>18</v>
      </c>
      <c r="B16" s="2" t="s">
        <v>100</v>
      </c>
      <c r="C16" s="2" t="s">
        <v>101</v>
      </c>
      <c r="D16" s="2" t="s">
        <v>108</v>
      </c>
      <c r="E16" s="2" t="n">
        <v>1</v>
      </c>
      <c r="F16" s="2" t="s">
        <v>109</v>
      </c>
      <c r="G16" s="2" t="s">
        <v>110</v>
      </c>
      <c r="H16" s="2" t="s">
        <v>111</v>
      </c>
      <c r="I16" s="2" t="s">
        <v>25</v>
      </c>
      <c r="J16" s="2" t="s">
        <v>26</v>
      </c>
      <c r="K16" s="2" t="s">
        <v>27</v>
      </c>
      <c r="L16" s="2" t="s">
        <v>28</v>
      </c>
      <c r="M16" s="2"/>
      <c r="N16" s="2" t="s">
        <v>112</v>
      </c>
      <c r="O16" s="2" t="s">
        <v>30</v>
      </c>
      <c r="P16" s="2" t="s">
        <v>31</v>
      </c>
      <c r="Q16" s="2"/>
      <c r="R16" s="2"/>
    </row>
    <row r="17" customFormat="false" ht="35.05" hidden="false" customHeight="false" outlineLevel="0" collapsed="false">
      <c r="A17" s="2" t="s">
        <v>18</v>
      </c>
      <c r="B17" s="2" t="s">
        <v>100</v>
      </c>
      <c r="C17" s="2" t="s">
        <v>101</v>
      </c>
      <c r="D17" s="2" t="s">
        <v>113</v>
      </c>
      <c r="E17" s="2" t="n">
        <v>1</v>
      </c>
      <c r="F17" s="2" t="s">
        <v>61</v>
      </c>
      <c r="G17" s="2" t="s">
        <v>114</v>
      </c>
      <c r="H17" s="2" t="s">
        <v>115</v>
      </c>
      <c r="I17" s="2" t="s">
        <v>45</v>
      </c>
      <c r="J17" s="2" t="s">
        <v>52</v>
      </c>
      <c r="K17" s="2" t="s">
        <v>37</v>
      </c>
      <c r="L17" s="2" t="s">
        <v>38</v>
      </c>
      <c r="M17" s="2"/>
      <c r="N17" s="2"/>
      <c r="O17" s="2" t="s">
        <v>30</v>
      </c>
      <c r="P17" s="2" t="s">
        <v>31</v>
      </c>
      <c r="Q17" s="2"/>
      <c r="R17" s="2" t="s">
        <v>116</v>
      </c>
    </row>
    <row r="18" customFormat="false" ht="46.25" hidden="false" customHeight="false" outlineLevel="0" collapsed="false">
      <c r="A18" s="2" t="s">
        <v>18</v>
      </c>
      <c r="B18" s="2" t="s">
        <v>100</v>
      </c>
      <c r="C18" s="2" t="s">
        <v>101</v>
      </c>
      <c r="D18" s="2" t="s">
        <v>127</v>
      </c>
      <c r="E18" s="2" t="n">
        <v>1</v>
      </c>
      <c r="F18" s="2" t="s">
        <v>61</v>
      </c>
      <c r="G18" s="2" t="s">
        <v>128</v>
      </c>
      <c r="H18" s="2" t="s">
        <v>129</v>
      </c>
      <c r="I18" s="2" t="s">
        <v>45</v>
      </c>
      <c r="J18" s="2" t="s">
        <v>70</v>
      </c>
      <c r="K18" s="2" t="s">
        <v>37</v>
      </c>
      <c r="L18" s="2" t="s">
        <v>38</v>
      </c>
      <c r="M18" s="2"/>
      <c r="N18" s="2"/>
      <c r="O18" s="2" t="s">
        <v>30</v>
      </c>
      <c r="P18" s="2" t="s">
        <v>31</v>
      </c>
      <c r="Q18" s="2"/>
      <c r="R18" s="2"/>
    </row>
    <row r="19" customFormat="false" ht="35.05" hidden="false" customHeight="false" outlineLevel="0" collapsed="false">
      <c r="A19" s="2" t="s">
        <v>18</v>
      </c>
      <c r="B19" s="2" t="s">
        <v>130</v>
      </c>
      <c r="C19" s="2" t="s">
        <v>131</v>
      </c>
      <c r="D19" s="2" t="s">
        <v>138</v>
      </c>
      <c r="E19" s="2" t="n">
        <v>1</v>
      </c>
      <c r="F19" s="2" t="s">
        <v>61</v>
      </c>
      <c r="G19" s="2" t="s">
        <v>139</v>
      </c>
      <c r="H19" s="2" t="s">
        <v>140</v>
      </c>
      <c r="I19" s="2" t="s">
        <v>45</v>
      </c>
      <c r="J19" s="2" t="s">
        <v>70</v>
      </c>
      <c r="K19" s="2" t="s">
        <v>37</v>
      </c>
      <c r="L19" s="2" t="s">
        <v>38</v>
      </c>
      <c r="M19" s="2"/>
      <c r="N19" s="2"/>
      <c r="O19" s="2" t="s">
        <v>30</v>
      </c>
      <c r="P19" s="2" t="s">
        <v>31</v>
      </c>
      <c r="Q19" s="2"/>
      <c r="R19" s="2"/>
    </row>
    <row r="20" customFormat="false" ht="35.05" hidden="false" customHeight="false" outlineLevel="0" collapsed="false">
      <c r="A20" s="2" t="s">
        <v>18</v>
      </c>
      <c r="B20" s="2" t="s">
        <v>130</v>
      </c>
      <c r="C20" s="2" t="s">
        <v>131</v>
      </c>
      <c r="D20" s="2" t="s">
        <v>141</v>
      </c>
      <c r="E20" s="2" t="n">
        <v>1</v>
      </c>
      <c r="F20" s="2" t="s">
        <v>61</v>
      </c>
      <c r="G20" s="2" t="s">
        <v>142</v>
      </c>
      <c r="H20" s="2" t="s">
        <v>143</v>
      </c>
      <c r="I20" s="2" t="s">
        <v>45</v>
      </c>
      <c r="J20" s="2" t="s">
        <v>52</v>
      </c>
      <c r="K20" s="2" t="s">
        <v>37</v>
      </c>
      <c r="L20" s="2" t="s">
        <v>38</v>
      </c>
      <c r="M20" s="2"/>
      <c r="N20" s="2"/>
      <c r="O20" s="2" t="s">
        <v>30</v>
      </c>
      <c r="P20" s="2" t="s">
        <v>31</v>
      </c>
      <c r="Q20" s="2"/>
      <c r="R20" s="2" t="s">
        <v>144</v>
      </c>
    </row>
    <row r="21" customFormat="false" ht="35.05" hidden="false" customHeight="false" outlineLevel="0" collapsed="false">
      <c r="A21" s="2" t="s">
        <v>18</v>
      </c>
      <c r="B21" s="2" t="s">
        <v>130</v>
      </c>
      <c r="C21" s="2" t="s">
        <v>131</v>
      </c>
      <c r="D21" s="2" t="s">
        <v>145</v>
      </c>
      <c r="E21" s="2" t="n">
        <v>1</v>
      </c>
      <c r="F21" s="2" t="s">
        <v>61</v>
      </c>
      <c r="G21" s="2" t="s">
        <v>146</v>
      </c>
      <c r="H21" s="2" t="s">
        <v>147</v>
      </c>
      <c r="I21" s="2" t="s">
        <v>45</v>
      </c>
      <c r="J21" s="2" t="s">
        <v>52</v>
      </c>
      <c r="K21" s="2" t="s">
        <v>37</v>
      </c>
      <c r="L21" s="2" t="s">
        <v>38</v>
      </c>
      <c r="M21" s="2"/>
      <c r="N21" s="2"/>
      <c r="O21" s="2" t="s">
        <v>30</v>
      </c>
      <c r="P21" s="2" t="s">
        <v>31</v>
      </c>
      <c r="Q21" s="2"/>
      <c r="R21" s="2"/>
    </row>
    <row r="22" customFormat="false" ht="35.05" hidden="false" customHeight="false" outlineLevel="0" collapsed="false">
      <c r="A22" s="2" t="s">
        <v>18</v>
      </c>
      <c r="B22" s="2" t="s">
        <v>130</v>
      </c>
      <c r="C22" s="2" t="s">
        <v>131</v>
      </c>
      <c r="D22" s="2" t="s">
        <v>148</v>
      </c>
      <c r="E22" s="2" t="n">
        <v>1</v>
      </c>
      <c r="F22" s="2" t="s">
        <v>61</v>
      </c>
      <c r="G22" s="2" t="s">
        <v>149</v>
      </c>
      <c r="H22" s="2" t="s">
        <v>150</v>
      </c>
      <c r="I22" s="2" t="s">
        <v>45</v>
      </c>
      <c r="J22" s="2" t="s">
        <v>70</v>
      </c>
      <c r="K22" s="2" t="s">
        <v>37</v>
      </c>
      <c r="L22" s="2" t="s">
        <v>38</v>
      </c>
      <c r="M22" s="2"/>
      <c r="N22" s="2"/>
      <c r="O22" s="2" t="s">
        <v>30</v>
      </c>
      <c r="P22" s="2" t="s">
        <v>31</v>
      </c>
      <c r="Q22" s="2"/>
      <c r="R22" s="2" t="s">
        <v>151</v>
      </c>
    </row>
    <row r="23" customFormat="false" ht="35.05" hidden="false" customHeight="false" outlineLevel="0" collapsed="false">
      <c r="A23" s="2" t="s">
        <v>18</v>
      </c>
      <c r="B23" s="2" t="s">
        <v>130</v>
      </c>
      <c r="C23" s="2" t="s">
        <v>131</v>
      </c>
      <c r="D23" s="2" t="s">
        <v>152</v>
      </c>
      <c r="E23" s="2" t="n">
        <v>1</v>
      </c>
      <c r="F23" s="2" t="s">
        <v>61</v>
      </c>
      <c r="G23" s="2" t="s">
        <v>153</v>
      </c>
      <c r="H23" s="2" t="s">
        <v>154</v>
      </c>
      <c r="I23" s="2" t="s">
        <v>25</v>
      </c>
      <c r="J23" s="2" t="s">
        <v>52</v>
      </c>
      <c r="K23" s="2" t="s">
        <v>37</v>
      </c>
      <c r="L23" s="2" t="s">
        <v>38</v>
      </c>
      <c r="M23" s="2"/>
      <c r="N23" s="2"/>
      <c r="O23" s="2" t="s">
        <v>30</v>
      </c>
      <c r="P23" s="2" t="s">
        <v>155</v>
      </c>
      <c r="Q23" s="2" t="s">
        <v>156</v>
      </c>
      <c r="R23" s="2" t="s">
        <v>157</v>
      </c>
    </row>
    <row r="24" customFormat="false" ht="35.05" hidden="false" customHeight="false" outlineLevel="0" collapsed="false">
      <c r="A24" s="2" t="s">
        <v>18</v>
      </c>
      <c r="B24" s="2" t="s">
        <v>130</v>
      </c>
      <c r="C24" s="2" t="s">
        <v>131</v>
      </c>
      <c r="D24" s="2" t="s">
        <v>158</v>
      </c>
      <c r="E24" s="2" t="n">
        <v>1</v>
      </c>
      <c r="F24" s="2" t="s">
        <v>159</v>
      </c>
      <c r="G24" s="2" t="s">
        <v>160</v>
      </c>
      <c r="H24" s="2" t="s">
        <v>161</v>
      </c>
      <c r="I24" s="2" t="s">
        <v>25</v>
      </c>
      <c r="J24" s="2" t="s">
        <v>52</v>
      </c>
      <c r="K24" s="2" t="s">
        <v>27</v>
      </c>
      <c r="L24" s="2" t="s">
        <v>28</v>
      </c>
      <c r="M24" s="2"/>
      <c r="N24" s="2" t="s">
        <v>162</v>
      </c>
      <c r="O24" s="2" t="s">
        <v>30</v>
      </c>
      <c r="P24" s="2" t="s">
        <v>31</v>
      </c>
      <c r="Q24" s="2"/>
      <c r="R24" s="2" t="s">
        <v>137</v>
      </c>
    </row>
    <row r="25" customFormat="false" ht="46.25" hidden="false" customHeight="false" outlineLevel="0" collapsed="false">
      <c r="A25" s="2" t="s">
        <v>18</v>
      </c>
      <c r="B25" s="2" t="s">
        <v>163</v>
      </c>
      <c r="C25" s="2" t="s">
        <v>164</v>
      </c>
      <c r="D25" s="2" t="s">
        <v>174</v>
      </c>
      <c r="E25" s="2" t="n">
        <v>1</v>
      </c>
      <c r="F25" s="2" t="s">
        <v>61</v>
      </c>
      <c r="G25" s="2" t="s">
        <v>175</v>
      </c>
      <c r="H25" s="2" t="s">
        <v>176</v>
      </c>
      <c r="I25" s="2" t="s">
        <v>45</v>
      </c>
      <c r="J25" s="2" t="s">
        <v>70</v>
      </c>
      <c r="K25" s="2" t="s">
        <v>37</v>
      </c>
      <c r="L25" s="2" t="s">
        <v>38</v>
      </c>
      <c r="M25" s="2"/>
      <c r="N25" s="2"/>
      <c r="O25" s="2" t="s">
        <v>30</v>
      </c>
      <c r="P25" s="2" t="s">
        <v>31</v>
      </c>
      <c r="Q25" s="2"/>
      <c r="R25" s="2"/>
    </row>
    <row r="26" customFormat="false" ht="35.05" hidden="false" customHeight="false" outlineLevel="0" collapsed="false">
      <c r="A26" s="2" t="s">
        <v>18</v>
      </c>
      <c r="B26" s="2" t="s">
        <v>163</v>
      </c>
      <c r="C26" s="2" t="s">
        <v>164</v>
      </c>
      <c r="D26" s="2" t="s">
        <v>177</v>
      </c>
      <c r="E26" s="2" t="n">
        <v>1</v>
      </c>
      <c r="F26" s="2" t="s">
        <v>61</v>
      </c>
      <c r="G26" s="2" t="s">
        <v>178</v>
      </c>
      <c r="H26" s="2" t="s">
        <v>179</v>
      </c>
      <c r="I26" s="2" t="s">
        <v>45</v>
      </c>
      <c r="J26" s="2" t="s">
        <v>70</v>
      </c>
      <c r="K26" s="2" t="s">
        <v>37</v>
      </c>
      <c r="L26" s="2" t="s">
        <v>38</v>
      </c>
      <c r="M26" s="2"/>
      <c r="N26" s="2"/>
      <c r="O26" s="2" t="s">
        <v>30</v>
      </c>
      <c r="P26" s="2" t="s">
        <v>31</v>
      </c>
      <c r="Q26" s="2"/>
      <c r="R26" s="2"/>
    </row>
    <row r="27" customFormat="false" ht="46.25" hidden="false" customHeight="false" outlineLevel="0" collapsed="false">
      <c r="A27" s="2" t="s">
        <v>18</v>
      </c>
      <c r="B27" s="2" t="s">
        <v>163</v>
      </c>
      <c r="C27" s="2" t="s">
        <v>164</v>
      </c>
      <c r="D27" s="2" t="s">
        <v>185</v>
      </c>
      <c r="E27" s="2" t="n">
        <v>1</v>
      </c>
      <c r="F27" s="2" t="s">
        <v>186</v>
      </c>
      <c r="G27" s="2" t="s">
        <v>187</v>
      </c>
      <c r="H27" s="2" t="s">
        <v>188</v>
      </c>
      <c r="I27" s="2" t="s">
        <v>25</v>
      </c>
      <c r="J27" s="2" t="s">
        <v>52</v>
      </c>
      <c r="K27" s="2" t="s">
        <v>37</v>
      </c>
      <c r="L27" s="2" t="s">
        <v>38</v>
      </c>
      <c r="M27" s="2"/>
      <c r="N27" s="2" t="s">
        <v>189</v>
      </c>
      <c r="O27" s="2" t="s">
        <v>30</v>
      </c>
      <c r="P27" s="2" t="s">
        <v>31</v>
      </c>
      <c r="Q27" s="2"/>
      <c r="R27" s="2" t="s">
        <v>96</v>
      </c>
    </row>
    <row r="28" customFormat="false" ht="46.25" hidden="false" customHeight="false" outlineLevel="0" collapsed="false">
      <c r="A28" s="2" t="s">
        <v>18</v>
      </c>
      <c r="B28" s="2" t="s">
        <v>163</v>
      </c>
      <c r="C28" s="2" t="s">
        <v>164</v>
      </c>
      <c r="D28" s="2" t="s">
        <v>196</v>
      </c>
      <c r="E28" s="2" t="n">
        <v>1</v>
      </c>
      <c r="F28" s="2" t="s">
        <v>61</v>
      </c>
      <c r="G28" s="2" t="s">
        <v>197</v>
      </c>
      <c r="H28" s="2" t="s">
        <v>198</v>
      </c>
      <c r="I28" s="2" t="s">
        <v>45</v>
      </c>
      <c r="J28" s="2" t="s">
        <v>70</v>
      </c>
      <c r="K28" s="2" t="s">
        <v>37</v>
      </c>
      <c r="L28" s="2" t="s">
        <v>38</v>
      </c>
      <c r="M28" s="2"/>
      <c r="N28" s="2"/>
      <c r="O28" s="2" t="s">
        <v>30</v>
      </c>
      <c r="P28" s="2" t="s">
        <v>31</v>
      </c>
      <c r="Q28" s="2"/>
      <c r="R2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8"/>
    <col collapsed="false" customWidth="true" hidden="false" outlineLevel="0" max="5" min="4" style="0" width="16"/>
    <col collapsed="false" customWidth="true" hidden="false" outlineLevel="0" max="6" min="6" style="0" width="40"/>
    <col collapsed="false" customWidth="true" hidden="false" outlineLevel="0" max="7" min="7" style="0" width="60"/>
    <col collapsed="false" customWidth="true" hidden="false" outlineLevel="0" max="8" min="8" style="0" width="50"/>
    <col collapsed="false" customWidth="true" hidden="false" outlineLevel="0" max="10" min="9" style="0" width="16"/>
    <col collapsed="false" customWidth="true" hidden="false" outlineLevel="0" max="11" min="11" style="0" width="26"/>
    <col collapsed="false" customWidth="true" hidden="false" outlineLevel="0" max="12" min="12" style="0" width="40"/>
    <col collapsed="false" customWidth="true" hidden="false" outlineLevel="0" max="13" min="13" style="0" width="45"/>
    <col collapsed="false" customWidth="true" hidden="false" outlineLevel="0" max="14" min="14" style="0" width="55"/>
    <col collapsed="false" customWidth="true" hidden="false" outlineLevel="0" max="15" min="15" style="0" width="16"/>
    <col collapsed="false" customWidth="true" hidden="false" outlineLevel="0" max="16" min="16" style="0" width="40"/>
    <col collapsed="false" customWidth="true" hidden="false" outlineLevel="0" max="17" min="17" style="0" width="70"/>
    <col collapsed="false" customWidth="true" hidden="false" outlineLevel="0" max="18" min="18" style="0" width="45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35.05" hidden="false" customHeight="false" outlineLevel="0" collapsed="false">
      <c r="A2" s="2" t="s">
        <v>18</v>
      </c>
      <c r="B2" s="2" t="s">
        <v>71</v>
      </c>
      <c r="C2" s="2" t="s">
        <v>72</v>
      </c>
      <c r="D2" s="2" t="s">
        <v>91</v>
      </c>
      <c r="E2" s="2" t="n">
        <v>2</v>
      </c>
      <c r="F2" s="2" t="s">
        <v>92</v>
      </c>
      <c r="G2" s="2" t="s">
        <v>93</v>
      </c>
      <c r="H2" s="2" t="s">
        <v>94</v>
      </c>
      <c r="I2" s="2" t="s">
        <v>45</v>
      </c>
      <c r="J2" s="2" t="s">
        <v>70</v>
      </c>
      <c r="K2" s="2" t="s">
        <v>27</v>
      </c>
      <c r="L2" s="2" t="s">
        <v>28</v>
      </c>
      <c r="M2" s="2"/>
      <c r="N2" s="2" t="s">
        <v>95</v>
      </c>
      <c r="O2" s="2" t="s">
        <v>30</v>
      </c>
      <c r="P2" s="2" t="s">
        <v>31</v>
      </c>
      <c r="Q2" s="2"/>
      <c r="R2" s="2" t="s">
        <v>96</v>
      </c>
    </row>
    <row r="3" customFormat="false" ht="35.05" hidden="false" customHeight="false" outlineLevel="0" collapsed="false">
      <c r="A3" s="2" t="s">
        <v>18</v>
      </c>
      <c r="B3" s="2" t="s">
        <v>100</v>
      </c>
      <c r="C3" s="2" t="s">
        <v>101</v>
      </c>
      <c r="D3" s="2" t="s">
        <v>102</v>
      </c>
      <c r="E3" s="2" t="n">
        <v>2</v>
      </c>
      <c r="F3" s="2" t="s">
        <v>103</v>
      </c>
      <c r="G3" s="2" t="s">
        <v>104</v>
      </c>
      <c r="H3" s="2" t="s">
        <v>105</v>
      </c>
      <c r="I3" s="2" t="s">
        <v>45</v>
      </c>
      <c r="J3" s="2" t="s">
        <v>52</v>
      </c>
      <c r="K3" s="2" t="s">
        <v>37</v>
      </c>
      <c r="L3" s="2" t="s">
        <v>38</v>
      </c>
      <c r="M3" s="2"/>
      <c r="N3" s="2" t="s">
        <v>106</v>
      </c>
      <c r="O3" s="2" t="s">
        <v>30</v>
      </c>
      <c r="P3" s="2" t="s">
        <v>31</v>
      </c>
      <c r="Q3" s="2"/>
      <c r="R3" s="2" t="s">
        <v>107</v>
      </c>
    </row>
    <row r="4" customFormat="false" ht="46.25" hidden="false" customHeight="false" outlineLevel="0" collapsed="false">
      <c r="A4" s="2" t="s">
        <v>18</v>
      </c>
      <c r="B4" s="2" t="s">
        <v>100</v>
      </c>
      <c r="C4" s="2" t="s">
        <v>101</v>
      </c>
      <c r="D4" s="2" t="s">
        <v>117</v>
      </c>
      <c r="E4" s="2" t="n">
        <v>2</v>
      </c>
      <c r="F4" s="2" t="s">
        <v>118</v>
      </c>
      <c r="G4" s="2" t="s">
        <v>119</v>
      </c>
      <c r="H4" s="2" t="s">
        <v>120</v>
      </c>
      <c r="I4" s="2" t="s">
        <v>45</v>
      </c>
      <c r="J4" s="2" t="s">
        <v>70</v>
      </c>
      <c r="K4" s="2" t="s">
        <v>37</v>
      </c>
      <c r="L4" s="2" t="s">
        <v>38</v>
      </c>
      <c r="M4" s="2"/>
      <c r="N4" s="2" t="s">
        <v>121</v>
      </c>
      <c r="O4" s="2" t="s">
        <v>30</v>
      </c>
      <c r="P4" s="2" t="s">
        <v>31</v>
      </c>
      <c r="Q4" s="2"/>
      <c r="R4" s="2"/>
    </row>
    <row r="5" customFormat="false" ht="46.25" hidden="false" customHeight="false" outlineLevel="0" collapsed="false">
      <c r="A5" s="2" t="s">
        <v>18</v>
      </c>
      <c r="B5" s="2" t="s">
        <v>100</v>
      </c>
      <c r="C5" s="2" t="s">
        <v>101</v>
      </c>
      <c r="D5" s="2" t="s">
        <v>122</v>
      </c>
      <c r="E5" s="2" t="n">
        <v>2</v>
      </c>
      <c r="F5" s="2" t="s">
        <v>123</v>
      </c>
      <c r="G5" s="2" t="s">
        <v>124</v>
      </c>
      <c r="H5" s="2" t="s">
        <v>125</v>
      </c>
      <c r="I5" s="2" t="s">
        <v>45</v>
      </c>
      <c r="J5" s="2" t="s">
        <v>52</v>
      </c>
      <c r="K5" s="2" t="s">
        <v>37</v>
      </c>
      <c r="L5" s="2" t="s">
        <v>38</v>
      </c>
      <c r="M5" s="2"/>
      <c r="N5" s="2" t="s">
        <v>126</v>
      </c>
      <c r="O5" s="2" t="s">
        <v>30</v>
      </c>
      <c r="P5" s="2" t="s">
        <v>31</v>
      </c>
      <c r="Q5" s="2"/>
      <c r="R5" s="2" t="s">
        <v>107</v>
      </c>
    </row>
    <row r="6" customFormat="false" ht="68.65" hidden="false" customHeight="false" outlineLevel="0" collapsed="false">
      <c r="A6" s="2" t="s">
        <v>18</v>
      </c>
      <c r="B6" s="2" t="s">
        <v>130</v>
      </c>
      <c r="C6" s="2" t="s">
        <v>131</v>
      </c>
      <c r="D6" s="2" t="s">
        <v>132</v>
      </c>
      <c r="E6" s="2" t="n">
        <v>2</v>
      </c>
      <c r="F6" s="2" t="s">
        <v>133</v>
      </c>
      <c r="G6" s="2" t="s">
        <v>134</v>
      </c>
      <c r="H6" s="2" t="s">
        <v>135</v>
      </c>
      <c r="I6" s="2" t="s">
        <v>45</v>
      </c>
      <c r="J6" s="2" t="s">
        <v>52</v>
      </c>
      <c r="K6" s="2" t="s">
        <v>27</v>
      </c>
      <c r="L6" s="2" t="s">
        <v>28</v>
      </c>
      <c r="M6" s="2"/>
      <c r="N6" s="2" t="s">
        <v>136</v>
      </c>
      <c r="O6" s="2" t="s">
        <v>30</v>
      </c>
      <c r="P6" s="2" t="s">
        <v>31</v>
      </c>
      <c r="Q6" s="2"/>
      <c r="R6" s="2" t="s">
        <v>137</v>
      </c>
    </row>
    <row r="7" customFormat="false" ht="46.25" hidden="false" customHeight="false" outlineLevel="0" collapsed="false">
      <c r="A7" s="2" t="s">
        <v>18</v>
      </c>
      <c r="B7" s="2" t="s">
        <v>163</v>
      </c>
      <c r="C7" s="2" t="s">
        <v>164</v>
      </c>
      <c r="D7" s="2" t="s">
        <v>165</v>
      </c>
      <c r="E7" s="2" t="n">
        <v>2</v>
      </c>
      <c r="F7" s="2" t="s">
        <v>166</v>
      </c>
      <c r="G7" s="2" t="s">
        <v>167</v>
      </c>
      <c r="H7" s="2" t="s">
        <v>168</v>
      </c>
      <c r="I7" s="2" t="s">
        <v>45</v>
      </c>
      <c r="J7" s="2" t="s">
        <v>52</v>
      </c>
      <c r="K7" s="2" t="s">
        <v>27</v>
      </c>
      <c r="L7" s="2" t="s">
        <v>28</v>
      </c>
      <c r="M7" s="2"/>
      <c r="N7" s="2" t="s">
        <v>169</v>
      </c>
      <c r="O7" s="2" t="s">
        <v>30</v>
      </c>
      <c r="P7" s="2" t="s">
        <v>31</v>
      </c>
      <c r="Q7" s="2"/>
      <c r="R7" s="2" t="s">
        <v>96</v>
      </c>
    </row>
    <row r="8" customFormat="false" ht="46.25" hidden="false" customHeight="false" outlineLevel="0" collapsed="false">
      <c r="A8" s="2" t="s">
        <v>18</v>
      </c>
      <c r="B8" s="2" t="s">
        <v>163</v>
      </c>
      <c r="C8" s="2" t="s">
        <v>164</v>
      </c>
      <c r="D8" s="2" t="s">
        <v>170</v>
      </c>
      <c r="E8" s="2" t="n">
        <v>2</v>
      </c>
      <c r="F8" s="2" t="s">
        <v>92</v>
      </c>
      <c r="G8" s="2" t="s">
        <v>171</v>
      </c>
      <c r="H8" s="2" t="s">
        <v>172</v>
      </c>
      <c r="I8" s="2" t="s">
        <v>45</v>
      </c>
      <c r="J8" s="2" t="s">
        <v>70</v>
      </c>
      <c r="K8" s="2" t="s">
        <v>27</v>
      </c>
      <c r="L8" s="2" t="s">
        <v>28</v>
      </c>
      <c r="M8" s="2"/>
      <c r="N8" s="2" t="s">
        <v>173</v>
      </c>
      <c r="O8" s="2" t="s">
        <v>30</v>
      </c>
      <c r="P8" s="2" t="s">
        <v>31</v>
      </c>
      <c r="Q8" s="2"/>
      <c r="R8" s="2"/>
    </row>
    <row r="9" customFormat="false" ht="46.25" hidden="false" customHeight="false" outlineLevel="0" collapsed="false">
      <c r="A9" s="2" t="s">
        <v>18</v>
      </c>
      <c r="B9" s="2" t="s">
        <v>163</v>
      </c>
      <c r="C9" s="2" t="s">
        <v>164</v>
      </c>
      <c r="D9" s="2" t="s">
        <v>180</v>
      </c>
      <c r="E9" s="2" t="n">
        <v>2</v>
      </c>
      <c r="F9" s="2" t="s">
        <v>181</v>
      </c>
      <c r="G9" s="2" t="s">
        <v>182</v>
      </c>
      <c r="H9" s="2" t="s">
        <v>183</v>
      </c>
      <c r="I9" s="2" t="s">
        <v>45</v>
      </c>
      <c r="J9" s="2" t="s">
        <v>52</v>
      </c>
      <c r="K9" s="2" t="s">
        <v>27</v>
      </c>
      <c r="L9" s="2" t="s">
        <v>28</v>
      </c>
      <c r="M9" s="2"/>
      <c r="N9" s="2" t="s">
        <v>184</v>
      </c>
      <c r="O9" s="2" t="s">
        <v>30</v>
      </c>
      <c r="P9" s="2" t="s">
        <v>31</v>
      </c>
      <c r="Q9" s="2"/>
      <c r="R9" s="2" t="s">
        <v>116</v>
      </c>
    </row>
    <row r="10" customFormat="false" ht="35.05" hidden="false" customHeight="false" outlineLevel="0" collapsed="false">
      <c r="A10" s="2" t="s">
        <v>18</v>
      </c>
      <c r="B10" s="2" t="s">
        <v>163</v>
      </c>
      <c r="C10" s="2" t="s">
        <v>164</v>
      </c>
      <c r="D10" s="2" t="s">
        <v>190</v>
      </c>
      <c r="E10" s="2" t="n">
        <v>2</v>
      </c>
      <c r="F10" s="2" t="s">
        <v>191</v>
      </c>
      <c r="G10" s="2" t="s">
        <v>192</v>
      </c>
      <c r="H10" s="2" t="s">
        <v>193</v>
      </c>
      <c r="I10" s="2" t="s">
        <v>45</v>
      </c>
      <c r="J10" s="2" t="s">
        <v>52</v>
      </c>
      <c r="K10" s="2" t="s">
        <v>27</v>
      </c>
      <c r="L10" s="2" t="s">
        <v>28</v>
      </c>
      <c r="M10" s="2"/>
      <c r="N10" s="2" t="s">
        <v>194</v>
      </c>
      <c r="O10" s="2" t="s">
        <v>30</v>
      </c>
      <c r="P10" s="2" t="s">
        <v>31</v>
      </c>
      <c r="Q10" s="2"/>
      <c r="R10" s="2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4"/>
    <col collapsed="false" customWidth="true" hidden="false" outlineLevel="0" max="6" min="6" style="0" width="8"/>
  </cols>
  <sheetData>
    <row r="1" customFormat="false" ht="17.35" hidden="false" customHeight="false" outlineLevel="0" collapsed="false">
      <c r="A1" s="3" t="s">
        <v>200</v>
      </c>
    </row>
    <row r="3" customFormat="false" ht="15" hidden="false" customHeight="false" outlineLevel="0" collapsed="false">
      <c r="A3" s="4" t="s">
        <v>201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5" t="s">
        <v>202</v>
      </c>
    </row>
    <row r="6" customFormat="false" ht="15" hidden="false" customHeight="false" outlineLevel="0" collapsed="false">
      <c r="A6" s="4" t="s">
        <v>203</v>
      </c>
    </row>
    <row r="7" customFormat="false" ht="15" hidden="false" customHeight="false" outlineLevel="0" collapsed="false">
      <c r="A7" s="4" t="s">
        <v>204</v>
      </c>
    </row>
    <row r="8" customFormat="false" ht="15" hidden="false" customHeight="false" outlineLevel="0" collapsed="false">
      <c r="A8" s="4" t="s">
        <v>205</v>
      </c>
    </row>
    <row r="9" customFormat="false" ht="15" hidden="false" customHeight="false" outlineLevel="0" collapsed="false">
      <c r="A9" s="4" t="s">
        <v>206</v>
      </c>
    </row>
    <row r="10" customFormat="false" ht="15" hidden="false" customHeight="false" outlineLevel="0" collapsed="false">
      <c r="A10" s="4"/>
    </row>
    <row r="11" customFormat="false" ht="15" hidden="false" customHeight="false" outlineLevel="0" collapsed="false">
      <c r="A11" s="4" t="s">
        <v>207</v>
      </c>
    </row>
    <row r="12" customFormat="false" ht="15" hidden="false" customHeight="false" outlineLevel="0" collapsed="false">
      <c r="A12" s="4" t="s">
        <v>208</v>
      </c>
    </row>
    <row r="13" customFormat="false" ht="15" hidden="false" customHeight="false" outlineLevel="0" collapsed="false">
      <c r="A13" s="4"/>
    </row>
    <row r="14" customFormat="false" ht="15" hidden="false" customHeight="false" outlineLevel="0" collapsed="false">
      <c r="A14" s="4" t="s">
        <v>209</v>
      </c>
    </row>
    <row r="16" customFormat="false" ht="15" hidden="false" customHeight="false" outlineLevel="0" collapsed="false">
      <c r="A16" s="6" t="s">
        <v>10</v>
      </c>
      <c r="B16" s="6" t="s">
        <v>210</v>
      </c>
      <c r="C16" s="6" t="s">
        <v>211</v>
      </c>
      <c r="D16" s="6" t="s">
        <v>212</v>
      </c>
      <c r="E16" s="6" t="s">
        <v>213</v>
      </c>
    </row>
    <row r="17" customFormat="false" ht="15" hidden="false" customHeight="false" outlineLevel="0" collapsed="false">
      <c r="A17" s="7" t="s">
        <v>27</v>
      </c>
      <c r="B17" s="7" t="n">
        <f aca="false">COUNTIFS('All by family'!$K$2:$K$37,$A17,'All by family'!$E$2:$E$37,1)</f>
        <v>6</v>
      </c>
      <c r="C17" s="7" t="n">
        <f aca="false">COUNTIFS('All by family'!$K$2:$K$37,$A17,'All by family'!$E$2:$E$37,2)</f>
        <v>6</v>
      </c>
      <c r="D17" s="7" t="n">
        <f aca="false">COUNTIFS('All by family'!$K$2:$K$37,$A17,'All by family'!$E$2:$E$37,3)</f>
        <v>0</v>
      </c>
      <c r="E17" s="7" t="n">
        <f aca="false">SUM(B17:D17)</f>
        <v>12</v>
      </c>
    </row>
    <row r="18" customFormat="false" ht="15" hidden="false" customHeight="false" outlineLevel="0" collapsed="false">
      <c r="A18" s="7" t="s">
        <v>37</v>
      </c>
      <c r="B18" s="7" t="n">
        <f aca="false">COUNTIFS('All by family'!$K$2:$K$37,$A18,'All by family'!$E$2:$E$37,1)</f>
        <v>21</v>
      </c>
      <c r="C18" s="7" t="n">
        <f aca="false">COUNTIFS('All by family'!$K$2:$K$37,$A18,'All by family'!$E$2:$E$37,2)</f>
        <v>3</v>
      </c>
      <c r="D18" s="7" t="n">
        <f aca="false">COUNTIFS('All by family'!$K$2:$K$37,$A18,'All by family'!$E$2:$E$37,3)</f>
        <v>0</v>
      </c>
      <c r="E18" s="7" t="n">
        <f aca="false">SUM(B18:D18)</f>
        <v>24</v>
      </c>
    </row>
    <row r="19" customFormat="false" ht="15" hidden="false" customHeight="false" outlineLevel="0" collapsed="false">
      <c r="A19" s="8" t="s">
        <v>214</v>
      </c>
      <c r="B19" s="8" t="n">
        <f aca="false">SUM(B17:B18)</f>
        <v>27</v>
      </c>
      <c r="C19" s="8" t="n">
        <f aca="false">SUM(C17:C18)</f>
        <v>9</v>
      </c>
      <c r="D19" s="8" t="n">
        <f aca="false">SUM(D17:D18)</f>
        <v>0</v>
      </c>
      <c r="E19" s="8" t="n">
        <f aca="false">SUM(E17:E18)</f>
        <v>36</v>
      </c>
    </row>
    <row r="20" customFormat="false" ht="15" hidden="false" customHeight="false" outlineLevel="0" collapsed="false">
      <c r="A20" s="7" t="s">
        <v>215</v>
      </c>
      <c r="E20" s="7" t="n">
        <f aca="false">COUNTA('All by family'!$D$2:$D$37)</f>
        <v>36</v>
      </c>
    </row>
    <row r="22" customFormat="false" ht="15" hidden="false" customHeight="false" outlineLevel="0" collapsed="false">
      <c r="A22" s="8" t="s">
        <v>216</v>
      </c>
    </row>
    <row r="23" customFormat="false" ht="15" hidden="false" customHeight="false" outlineLevel="0" collapsed="false">
      <c r="A23" s="6" t="s">
        <v>2</v>
      </c>
      <c r="B23" s="6" t="s">
        <v>210</v>
      </c>
      <c r="C23" s="6" t="s">
        <v>211</v>
      </c>
      <c r="D23" s="6" t="s">
        <v>212</v>
      </c>
      <c r="E23" s="6" t="s">
        <v>213</v>
      </c>
    </row>
    <row r="24" customFormat="false" ht="15" hidden="false" customHeight="false" outlineLevel="0" collapsed="false">
      <c r="A24" s="7" t="s">
        <v>217</v>
      </c>
      <c r="B24" s="7" t="n">
        <f aca="false">COUNTIFS('All by family'!$B$2:$B$37,$F24,'All by family'!$E$2:$E$37,1)</f>
        <v>7</v>
      </c>
      <c r="C24" s="7" t="n">
        <f aca="false">COUNTIFS('All by family'!$B$2:$B$37,$F24,'All by family'!$E$2:$E$37,2)</f>
        <v>0</v>
      </c>
      <c r="D24" s="7" t="n">
        <f aca="false">COUNTIFS('All by family'!$B$2:$B$37,$F24,'All by family'!$E$2:$E$37,3)</f>
        <v>0</v>
      </c>
      <c r="E24" s="7" t="n">
        <f aca="false">SUM(B24:D24)</f>
        <v>7</v>
      </c>
      <c r="F24" s="9" t="s">
        <v>19</v>
      </c>
    </row>
    <row r="25" customFormat="false" ht="15" hidden="false" customHeight="false" outlineLevel="0" collapsed="false">
      <c r="A25" s="7" t="s">
        <v>218</v>
      </c>
      <c r="B25" s="7" t="n">
        <f aca="false">COUNTIFS('All by family'!$B$2:$B$37,$F25,'All by family'!$E$2:$E$37,1)</f>
        <v>7</v>
      </c>
      <c r="C25" s="7" t="n">
        <f aca="false">COUNTIFS('All by family'!$B$2:$B$37,$F25,'All by family'!$E$2:$E$37,2)</f>
        <v>1</v>
      </c>
      <c r="D25" s="7" t="n">
        <f aca="false">COUNTIFS('All by family'!$B$2:$B$37,$F25,'All by family'!$E$2:$E$37,3)</f>
        <v>0</v>
      </c>
      <c r="E25" s="7" t="n">
        <f aca="false">SUM(B25:D25)</f>
        <v>8</v>
      </c>
      <c r="F25" s="9" t="s">
        <v>71</v>
      </c>
    </row>
    <row r="26" customFormat="false" ht="15" hidden="false" customHeight="false" outlineLevel="0" collapsed="false">
      <c r="A26" s="7" t="s">
        <v>219</v>
      </c>
      <c r="B26" s="7" t="n">
        <f aca="false">COUNTIFS('All by family'!$B$2:$B$37,$F26,'All by family'!$E$2:$E$37,1)</f>
        <v>3</v>
      </c>
      <c r="C26" s="7" t="n">
        <f aca="false">COUNTIFS('All by family'!$B$2:$B$37,$F26,'All by family'!$E$2:$E$37,2)</f>
        <v>3</v>
      </c>
      <c r="D26" s="7" t="n">
        <f aca="false">COUNTIFS('All by family'!$B$2:$B$37,$F26,'All by family'!$E$2:$E$37,3)</f>
        <v>0</v>
      </c>
      <c r="E26" s="7" t="n">
        <f aca="false">SUM(B26:D26)</f>
        <v>6</v>
      </c>
      <c r="F26" s="9" t="s">
        <v>100</v>
      </c>
    </row>
    <row r="27" customFormat="false" ht="15" hidden="false" customHeight="false" outlineLevel="0" collapsed="false">
      <c r="A27" s="7" t="s">
        <v>220</v>
      </c>
      <c r="B27" s="7" t="n">
        <f aca="false">COUNTIFS('All by family'!$B$2:$B$37,$F27,'All by family'!$E$2:$E$37,1)</f>
        <v>6</v>
      </c>
      <c r="C27" s="7" t="n">
        <f aca="false">COUNTIFS('All by family'!$B$2:$B$37,$F27,'All by family'!$E$2:$E$37,2)</f>
        <v>1</v>
      </c>
      <c r="D27" s="7" t="n">
        <f aca="false">COUNTIFS('All by family'!$B$2:$B$37,$F27,'All by family'!$E$2:$E$37,3)</f>
        <v>0</v>
      </c>
      <c r="E27" s="7" t="n">
        <f aca="false">SUM(B27:D27)</f>
        <v>7</v>
      </c>
      <c r="F27" s="9" t="s">
        <v>130</v>
      </c>
    </row>
    <row r="28" customFormat="false" ht="15" hidden="false" customHeight="false" outlineLevel="0" collapsed="false">
      <c r="A28" s="7" t="s">
        <v>221</v>
      </c>
      <c r="B28" s="7" t="n">
        <f aca="false">COUNTIFS('All by family'!$B$2:$B$37,$F28,'All by family'!$E$2:$E$37,1)</f>
        <v>4</v>
      </c>
      <c r="C28" s="7" t="n">
        <f aca="false">COUNTIFS('All by family'!$B$2:$B$37,$F28,'All by family'!$E$2:$E$37,2)</f>
        <v>4</v>
      </c>
      <c r="D28" s="7" t="n">
        <f aca="false">COUNTIFS('All by family'!$B$2:$B$37,$F28,'All by family'!$E$2:$E$37,3)</f>
        <v>0</v>
      </c>
      <c r="E28" s="7" t="n">
        <f aca="false">SUM(B28:D28)</f>
        <v>8</v>
      </c>
      <c r="F28" s="9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2026-10-20T21:42:43Z</dcterms:created>
  <dc:creator>openpyxl</dc:creator>
  <dc:description/>
  <dc:language>en-US</dc:language>
  <cp:lastModifiedBy/>
  <dcterms:modified xsi:type="dcterms:W3CDTF">2026-10-20T21:42:43Z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